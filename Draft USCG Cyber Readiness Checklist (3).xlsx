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gle-my.sharepoint.com/personal/mdevolld_eagle_org/Documents/Maritime Regs/US Coast Guard/"/>
    </mc:Choice>
  </mc:AlternateContent>
  <xr:revisionPtr revIDLastSave="15" documentId="8_{49CEE457-88DA-44F6-A93D-34A2208BFB95}" xr6:coauthVersionLast="47" xr6:coauthVersionMax="47" xr10:uidLastSave="{A64122B4-411E-427E-841D-35B0DAE334AC}"/>
  <bookViews>
    <workbookView xWindow="57480" yWindow="-120" windowWidth="29040" windowHeight="15720" tabRatio="700" activeTab="2" xr2:uid="{16CBB24C-D128-4855-9EB3-0666363B864B}"/>
  </bookViews>
  <sheets>
    <sheet name="Dashboard" sheetId="1" r:id="rId1"/>
    <sheet name="Requirements" sheetId="2" r:id="rId2"/>
    <sheet name="Facility Specific Sheet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G9" i="1"/>
  <c r="G10" i="1"/>
  <c r="G11" i="1"/>
  <c r="G12" i="1"/>
  <c r="G13" i="1"/>
  <c r="G14" i="1"/>
  <c r="F9" i="1"/>
  <c r="F10" i="1"/>
  <c r="F11" i="1"/>
  <c r="F12" i="1"/>
  <c r="F13" i="1"/>
  <c r="F14" i="1"/>
  <c r="E9" i="1"/>
  <c r="E10" i="1"/>
  <c r="E11" i="1"/>
  <c r="E12" i="1"/>
  <c r="E13" i="1"/>
  <c r="E14" i="1"/>
  <c r="G8" i="1"/>
  <c r="E8" i="1"/>
  <c r="F8" i="1"/>
  <c r="D8" i="1"/>
  <c r="D15" i="1" l="1"/>
  <c r="E15" i="1"/>
  <c r="E18" i="1" s="1"/>
  <c r="F15" i="1"/>
  <c r="G15" i="1"/>
  <c r="F1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9D7B4E-3883-4157-936E-79C242B82F47}" keepAlive="1" name="Query - partf" description="Connection to the 'partf' query in the workbook." type="5" refreshedVersion="0" background="1" saveData="1">
    <dbPr connection="Provider=Microsoft.Mashup.OleDb.1;Data Source=$Workbook$;Location=partf;Extended Properties=&quot;&quot;" command="SELECT * FROM [partf]"/>
  </connection>
</connections>
</file>

<file path=xl/sharedStrings.xml><?xml version="1.0" encoding="utf-8"?>
<sst xmlns="http://schemas.openxmlformats.org/spreadsheetml/2006/main" count="1015" uniqueCount="355">
  <si>
    <t>Tabs</t>
  </si>
  <si>
    <t>This section contains heads up information and visualizations</t>
  </si>
  <si>
    <t>Section</t>
  </si>
  <si>
    <t>Control Statement</t>
  </si>
  <si>
    <t>Lacks</t>
  </si>
  <si>
    <t>Meets</t>
  </si>
  <si>
    <t>Exceeds</t>
  </si>
  <si>
    <t>Total</t>
  </si>
  <si>
    <t>Total Criteria</t>
  </si>
  <si>
    <t>Meets/Exceeds</t>
  </si>
  <si>
    <t>Grouping</t>
  </si>
  <si>
    <t>Eval</t>
  </si>
  <si>
    <t>Comments</t>
  </si>
  <si>
    <t>101.620(a)</t>
  </si>
  <si>
    <t>Owner or operator is responsible for compliance with this subpart.</t>
  </si>
  <si>
    <t>101.620(b)(1)</t>
  </si>
  <si>
    <t>Ensure a Cybersecurity Plan is developed, approved, and maintained.</t>
  </si>
  <si>
    <t>101.620(b)(2)</t>
  </si>
  <si>
    <t>Define cybersecurity organizational structure in the Plan, identifying all individuals with duties and ensuring their support.</t>
  </si>
  <si>
    <t>101.620(b)(3)</t>
  </si>
  <si>
    <t>Designate a Cybersecurity Officer (CySO) by name/title, accessible 24/7, and provide contact info.</t>
  </si>
  <si>
    <t>101.620(b)(4)</t>
  </si>
  <si>
    <t>Ensure cybersecurity exercises, audits, inspections, and the Cybersecurity Assessment are conducted as required.</t>
  </si>
  <si>
    <t>101.620(b)(5)</t>
  </si>
  <si>
    <t>Ensure the vessel/facility/OCS facility operates in compliance with the approved Cybersecurity Plan.</t>
  </si>
  <si>
    <t>101.620(b)(6)</t>
  </si>
  <si>
    <t>Develop, approve, and execute the Cyber Incident Response Plan.</t>
  </si>
  <si>
    <t>101.620(b)(7)</t>
  </si>
  <si>
    <t>If not reporting under 33 CFR 6.16-1, report all reportable cyber incidents to the NRC.</t>
  </si>
  <si>
    <t>101.625(a)</t>
  </si>
  <si>
    <t>If the CySO has other duties, verify they can still fulfill CySO responsibilities.</t>
  </si>
  <si>
    <t>101.625(b)</t>
  </si>
  <si>
    <t>If one CySO serves multiple entities, list each entity in its Cybersecurity Plan.</t>
  </si>
  <si>
    <t>101.625(c)</t>
  </si>
  <si>
    <t>If the CySO assigns duties to others, they retain ultimate responsibility.</t>
  </si>
  <si>
    <t>101.625(d)(1)</t>
  </si>
  <si>
    <t>Ensure a Cybersecurity Assessment is conducted as required.</t>
  </si>
  <si>
    <t>101.625(d)(2)</t>
  </si>
  <si>
    <t>Ensure cybersecurity measures in the Plan are developed, implemented, and operating as intended.</t>
  </si>
  <si>
    <t>101.625(d)(3)</t>
  </si>
  <si>
    <t>Ensure the Cybersecurity Plan is audited annually and updated if needed.</t>
  </si>
  <si>
    <t>101.625(d)(4)</t>
  </si>
  <si>
    <t>Ensure the Cyber Incident Response Plan is executed and exercised.</t>
  </si>
  <si>
    <t>101.625(d)(5)</t>
  </si>
  <si>
    <t>Ensure the Cybersecurity Plan is exercised per §101.635(c).</t>
  </si>
  <si>
    <t>101.625(d)(6)</t>
  </si>
  <si>
    <t>Arrange for cybersecurity inspections (stand-alone or with Coast Guard inspections).</t>
  </si>
  <si>
    <t>101.625(d)(7)</t>
  </si>
  <si>
    <t>Correct problems identified by exercises, audits, or inspections promptly.</t>
  </si>
  <si>
    <t>101.625(d)(8)</t>
  </si>
  <si>
    <t>Enhance cybersecurity awareness and vigilance of personnel.</t>
  </si>
  <si>
    <t>101.625(d)(9)</t>
  </si>
  <si>
    <t>Ensure adequate cybersecurity training of personnel.</t>
  </si>
  <si>
    <t>101.625(d)(10)</t>
  </si>
  <si>
    <t>Record and report all reportable cyber incidents to the owner or operator.</t>
  </si>
  <si>
    <t>101.625(d)(11)</t>
  </si>
  <si>
    <t>Maintain records required by this part in accordance with §101.640.</t>
  </si>
  <si>
    <t>101.625(d)(12)</t>
  </si>
  <si>
    <t>Prepare and submit any required reports.</t>
  </si>
  <si>
    <t>101.625(d)(13)</t>
  </si>
  <si>
    <t>Submit the Cybersecurity Plan/amendments for approval before implementing changes per §101.630.</t>
  </si>
  <si>
    <t>101.625(d)(14)</t>
  </si>
  <si>
    <t>Brief relevant security/management personnel on changes in cybersecurity conditions.</t>
  </si>
  <si>
    <t>101.625(d)(15)</t>
  </si>
  <si>
    <t>Identify and mitigate all Known Exploited Vulnerabilities (KEVs) in critical IT/OT systems without delay.</t>
  </si>
  <si>
    <t>101.625(e)</t>
  </si>
  <si>
    <t>CySO must have knowledge (via training/education/job experience) in vessel/facility operations, cybersecurity, regulations, etc.</t>
  </si>
  <si>
    <t>101.630(a)</t>
  </si>
  <si>
    <t>Develop, implement, and verify a Cybersecurity Plan reflecting required measures and addressing identified risks.</t>
  </si>
  <si>
    <t>101.630(b)</t>
  </si>
  <si>
    <t>Cybersecurity Plan is SSI and must be protected under 49 CFR part 1520.</t>
  </si>
  <si>
    <t>101.630(c)</t>
  </si>
  <si>
    <t>The Cybersecurity Plan must have specific sections or an index referencing them.</t>
  </si>
  <si>
    <t>101.630(d)</t>
  </si>
  <si>
    <t>101.630(d)(2)</t>
  </si>
  <si>
    <t>101.630(d)(3)</t>
  </si>
  <si>
    <t>101.630(e)(1)</t>
  </si>
  <si>
    <t>Amendments can be initiated by the owner/operator/CySO or required by the Coast Guard.</t>
  </si>
  <si>
    <t>101.630(e)(2)</t>
  </si>
  <si>
    <t>Submit proposed amendments at least 30 days before effective date, unless exigent circumstances apply.</t>
  </si>
  <si>
    <t>101.630(e)(3)</t>
  </si>
  <si>
    <t>If owner/operator changes, amend the Plan within 96 hours with new info.</t>
  </si>
  <si>
    <t>101.630(e)(4)</t>
  </si>
  <si>
    <t>If the CySO changes, notify the Coast Guard within 96 hours; amend/submit updated Plan.</t>
  </si>
  <si>
    <t>101.630(f)(1)</t>
  </si>
  <si>
    <t>Conduct an annual audit of the Cybersecurity Plan/implementation and attach a certification report.</t>
  </si>
  <si>
    <t>101.630(f)(2)</t>
  </si>
  <si>
    <t>Additional audit required if ownership or major security measures change.</t>
  </si>
  <si>
    <t>101.630(f)(3)</t>
  </si>
  <si>
    <t>Audit scope can be limited to the updated/affected Plan sections.</t>
  </si>
  <si>
    <t>101.630(f)(4)</t>
  </si>
  <si>
    <t>101.630(f)(5)</t>
  </si>
  <si>
    <t>Submit Plan amendments (if needed) within 30 days after audit completion.</t>
  </si>
  <si>
    <t>101.635(a)(1)</t>
  </si>
  <si>
    <t>Drills/exercises must test personnel proficiency and Plan effectiveness.</t>
  </si>
  <si>
    <t>101.635(a)(2)</t>
  </si>
  <si>
    <t>An actual cyber incident can satisfy drill requirements if documented exercise goals are met.</t>
  </si>
  <si>
    <t>101.635(b)(1)</t>
  </si>
  <si>
    <t>Conduct cybersecurity drills at least twice each calendar year.</t>
  </si>
  <si>
    <t>101.635(b)(2)</t>
  </si>
  <si>
    <t>Drills must test individual Plan elements, considering operations/personnel changes.</t>
  </si>
  <si>
    <t>101.635(b)(3)</t>
  </si>
  <si>
    <t>A moored vessel is not required to participate in facility drills.</t>
  </si>
  <si>
    <t>101.635(c)(1)</t>
  </si>
  <si>
    <t>Conduct a cybersecurity exercise at least once each calendar year, no more than 18 months apart.</t>
  </si>
  <si>
    <t>101.635(c)(2)</t>
  </si>
  <si>
    <t>101.635(c)(4)</t>
  </si>
  <si>
    <t>Exercises must test communication, notification, coordination, resource availability, and response.</t>
  </si>
  <si>
    <t>101.635(c)(5)</t>
  </si>
  <si>
    <t>Exercises must include substantial/active participation of the CySO(s).</t>
  </si>
  <si>
    <t>101.635(c)(6)</t>
  </si>
  <si>
    <t>Address/document corrective actions identified during exercises promptly.</t>
  </si>
  <si>
    <t>101.640</t>
  </si>
  <si>
    <t>Maintain records of training, drills, exercises, threats, incidents, and audits according to 33 CFR 104.235, 105.225, or 106.230.</t>
  </si>
  <si>
    <t>101.645(a)</t>
  </si>
  <si>
    <t>Document a means to notify owners/operators/personnel of changes in cybersecurity conditions in Section 5 of the Plan.</t>
  </si>
  <si>
    <t>101.645(b)</t>
  </si>
  <si>
    <t>Communication systems must allow continuous communication with vessels, COTP, and security authorities.</t>
  </si>
  <si>
    <t>101.650(a)(1)</t>
  </si>
  <si>
    <t>Enable automatic account lockout after repeated failed logins on password-protected IT systems.</t>
  </si>
  <si>
    <t>101.650(a)(2)</t>
  </si>
  <si>
    <t>Change default passwords before using IT/OT systems or document compensating controls.</t>
  </si>
  <si>
    <t>101.650(a)(3)</t>
  </si>
  <si>
    <t>Maintain minimum password strength on all IT/OT systems capable of password protection.</t>
  </si>
  <si>
    <t>101.650(a)(4)</t>
  </si>
  <si>
    <t>Implement multifactor authentication on password-protected IT/remote OT systems (or document compensating controls).</t>
  </si>
  <si>
    <t>101.650(a)(5)</t>
  </si>
  <si>
    <t>Apply least privilege principle to admin/privileged accounts on IT and OT.</t>
  </si>
  <si>
    <t>101.650(a)(6)</t>
  </si>
  <si>
    <t>Ensure separate user credentials for critical IT and OT systems.</t>
  </si>
  <si>
    <t>101.650(a)(7)</t>
  </si>
  <si>
    <t>Remove or revoke credentials when a user leaves the organization.</t>
  </si>
  <si>
    <t>101.650(b)(1)</t>
  </si>
  <si>
    <t>Develop/maintain a list of approved hardware, firmware, and software for IT/OT.</t>
  </si>
  <si>
    <t>101.650(b)(2)</t>
  </si>
  <si>
    <t>Disable applications running executable code by default on critical IT/OT systems.</t>
  </si>
  <si>
    <t>101.650(b)(3)</t>
  </si>
  <si>
    <t>Keep an accurate inventory of network-connected systems, designating critical IT/OT.</t>
  </si>
  <si>
    <t>101.650(b)(4)</t>
  </si>
  <si>
    <t>Document network map and OT device configurations.</t>
  </si>
  <si>
    <t>101.650(c)(1)</t>
  </si>
  <si>
    <t>Capture and store logs securely, accessible only by privileged users.</t>
  </si>
  <si>
    <t>101.650(c)(2)</t>
  </si>
  <si>
    <t>Use effective encryption to protect sensitive data and IT/OT traffic where feasible.</t>
  </si>
  <si>
    <t>101.650(d)(1)</t>
  </si>
  <si>
    <t>Train all personnel with IT/OT access on Plan provisions, threat recognition, circumventing tactics, incident reporting, and OT-specific tasks.</t>
  </si>
  <si>
    <t>101.650(d)(2)</t>
  </si>
  <si>
    <t>Key personnel need additional training on incident roles/responsibilities and evolving threats.</t>
  </si>
  <si>
    <t>101.650(d)(3)</t>
  </si>
  <si>
    <t>Untrained personnel needing system access must be accompanied or monitored by trained personnel.</t>
  </si>
  <si>
    <t>101.650(d)(4)</t>
  </si>
  <si>
    <t>Meet training deadlines: by 1/12/2026 and annually thereafter; new hires within 5 days of system access.</t>
  </si>
  <si>
    <t>101.650(e)(1)</t>
  </si>
  <si>
    <t>Complete a Cybersecurity Assessment by 7/16/2027 and annually thereafter, or sooner if ownership changes.</t>
  </si>
  <si>
    <t>101.650(e)(1)(i)</t>
  </si>
  <si>
    <t>Analyze all networks to identify critical IT/OT vulnerabilities and assess digital asset risks.</t>
  </si>
  <si>
    <t>101.650(e)(1)(ii)</t>
  </si>
  <si>
    <t>Validate the Cybersecurity Plan based on assessment findings.</t>
  </si>
  <si>
    <t>101.650(e)(1)(iii)</t>
  </si>
  <si>
    <t>Document recommendations/resolutions in the VSA/FSA/OCS FSA (per 33 CFR 104.305/105.305/106.305).</t>
  </si>
  <si>
    <t>101.650(e)(1)(iv)</t>
  </si>
  <si>
    <t>Patch or mitigate all Known Exploited Vulnerabilities (KEVs) in critical IT/OT systems without delay.</t>
  </si>
  <si>
    <t>101.650(e)(1)(v)</t>
  </si>
  <si>
    <t>Incorporate assessment recommendations/resolutions into the Cybersecurity Plan via amendment per §101.630(e).</t>
  </si>
  <si>
    <t>101.650(e)(2)</t>
  </si>
  <si>
    <t>Conduct a penetration test at Plan renewal; document vulnerabilities in VSA/FSA/OCS FSA.</t>
  </si>
  <si>
    <t>101.650(e)(3)(i)</t>
  </si>
  <si>
    <t>Routinely patch or mitigate KEVs in critical IT/OT systems without delay.</t>
  </si>
  <si>
    <t>101.650(e)(3)(ii)</t>
  </si>
  <si>
    <t>Maintain a method to receive/act on publicly submitted vulnerabilities.</t>
  </si>
  <si>
    <t>101.650(e)(3)(iii)</t>
  </si>
  <si>
    <t>Maintain a method to share threat/vulnerability information with external stakeholders.</t>
  </si>
  <si>
    <t>101.650(e)(3)(iv)</t>
  </si>
  <si>
    <t>Ensure no exploitable channels are exposed to the internet.</t>
  </si>
  <si>
    <t>101.650(e)(3)(v)</t>
  </si>
  <si>
    <t>Keep OT off the public internet unless explicitly required; justify any remote OT access.</t>
  </si>
  <si>
    <t>101.650(e)(3)(vi)</t>
  </si>
  <si>
    <t>Conduct vulnerability scans as specified in the Cybersecurity Plan.</t>
  </si>
  <si>
    <t>101.650(f)(1)</t>
  </si>
  <si>
    <t>Evaluate vendor cybersecurity capability in IT/OT procurement.</t>
  </si>
  <si>
    <t>101.650(f)(2)</t>
  </si>
  <si>
    <t>Vendors must notify you of vulnerabilities or reportable incidents without delay.</t>
  </si>
  <si>
    <t>101.650(f)(3)</t>
  </si>
  <si>
    <t>Monitor/document all third-party remote connections for cyber incidents.</t>
  </si>
  <si>
    <t>101.650(g)(1)</t>
  </si>
  <si>
    <t>If not subject to 33 CFR 6.16-1, report all reportable cyber incidents to the NRC without delay.</t>
  </si>
  <si>
    <t>101.650(g)(2)</t>
  </si>
  <si>
    <t>Develop, implement, maintain, and exercise the Cyber Incident Response Plan.</t>
  </si>
  <si>
    <t>101.650(g)(3)</t>
  </si>
  <si>
    <t>Periodically validate Cybersecurity Plan effectiveness through exercises/reviews.</t>
  </si>
  <si>
    <t>101.650(g)(4)</t>
  </si>
  <si>
    <t>Perform and protect backups of critical IT/OT systems, testing them frequently.</t>
  </si>
  <si>
    <t>101.650(h)(1)</t>
  </si>
  <si>
    <t>Implement IT/OT network segmentation.</t>
  </si>
  <si>
    <t>101.650(h)(2)</t>
  </si>
  <si>
    <t>Log and monitor all connections between IT and OT for suspicious activity.</t>
  </si>
  <si>
    <t>101.650(i)(1)</t>
  </si>
  <si>
    <t>Limit physical access to IT/OT equipment to authorized personnel; secure and log HMI access.</t>
  </si>
  <si>
    <t>101.650(i)(2)</t>
  </si>
  <si>
    <t>Block unauthorized hardware/media on IT/OT systems, disable unused ports, grant exceptions only as needed.</t>
  </si>
  <si>
    <t xml:space="preserve"> PART 101 - MARITIME SECURITY: GENERAL  
PART F - CYBERSECURITY</t>
  </si>
  <si>
    <t>PART 101 - MARITIME SECURITY: GENERAL  
PART F - CYBERSECURITY</t>
  </si>
  <si>
    <t>Dashboard</t>
  </si>
  <si>
    <t>Requirments</t>
  </si>
  <si>
    <t>Vessel Specific Details</t>
  </si>
  <si>
    <t>Part F Requirements</t>
  </si>
  <si>
    <t>This spreadsheet is designed to enter and track data related to Part F assessments.</t>
  </si>
  <si>
    <t>Cybersecurity Officer</t>
  </si>
  <si>
    <t>Cybersecurity Plan</t>
  </si>
  <si>
    <t>Drills and exercises</t>
  </si>
  <si>
    <t>Records and documentation</t>
  </si>
  <si>
    <t>Communications</t>
  </si>
  <si>
    <t>Cybersecurity measures</t>
  </si>
  <si>
    <t>101.620(b)</t>
  </si>
  <si>
    <t>For each U.S.-flagged vessel, facility, or OCS facility, the owner or operator must:</t>
  </si>
  <si>
    <t>101.625(d)</t>
  </si>
  <si>
    <t>For each U.S.-flagged vessel, facility, or OCS facility for which they are designated, the CySO must:</t>
  </si>
  <si>
    <t>101.625(e)(1)</t>
  </si>
  <si>
    <t>CySO must have knowledge of general vessel, facility, or OCS facility operations and conditions.</t>
  </si>
  <si>
    <t>101.625(e)(2)</t>
  </si>
  <si>
    <t>CySO must have knowledge of general cybersecurity guidance and best practices.</t>
  </si>
  <si>
    <t>101.625(e)(3)</t>
  </si>
  <si>
    <t>CySO must have knowledge of the vessel, facility, or OCS facility's Cyber Incident Response Plan.</t>
  </si>
  <si>
    <t>101.625(e)(4)</t>
  </si>
  <si>
    <t>CySO must have knowledge of the vessel, facility, or OCS facility's Cybersecurity Plan.</t>
  </si>
  <si>
    <t>101.625(e)(5)</t>
  </si>
  <si>
    <t>CySO must have knowledge of cybersecurity equipment and systems.</t>
  </si>
  <si>
    <t>101.625(e)(6)</t>
  </si>
  <si>
    <t>CySO must have knowledge of methods for conducting cybersecurity audits, inspections, control, and monitoring techniques.</t>
  </si>
  <si>
    <t>101.625(e)(7)</t>
  </si>
  <si>
    <t>CySO must have knowledge of relevant laws and regulations pertaining to cybersecurity.</t>
  </si>
  <si>
    <t>101.625(e)(8)</t>
  </si>
  <si>
    <t>CySO must have knowledge of instruction techniques for cybersecurity training and education.</t>
  </si>
  <si>
    <t>101.625(e)(9)</t>
  </si>
  <si>
    <t>CySO must have knowledge of handling Sensitive Security Information and security-related communications.</t>
  </si>
  <si>
    <t>101.625(e)(10)</t>
  </si>
  <si>
    <t>CySO must have knowledge of current cybersecurity threat patterns and Known Exploited Vulnerabilities (KEVs).</t>
  </si>
  <si>
    <t>101.625(e)(11)</t>
  </si>
  <si>
    <t>CySO must have knowledge of recognizing characteristics and behaviors of persons likely to threaten security.</t>
  </si>
  <si>
    <t>101.625(e)(12)</t>
  </si>
  <si>
    <t>CySO must have knowledge of conducting and assessing cybersecurity drills and exercises.</t>
  </si>
  <si>
    <t>101.630(c)(1)</t>
  </si>
  <si>
    <t>Cybersecurity organization and identity of the CySO</t>
  </si>
  <si>
    <t>101.630(c)(2)</t>
  </si>
  <si>
    <t>Personnel training</t>
  </si>
  <si>
    <t>101.630(c)(3)</t>
  </si>
  <si>
    <t>101.630(c)(4)</t>
  </si>
  <si>
    <t>101.630(c)(5)</t>
  </si>
  <si>
    <t>101.630(c)(6)</t>
  </si>
  <si>
    <t>Cybersecurity systems and equipment, with associated maintenance</t>
  </si>
  <si>
    <t>101.630(c)(7)</t>
  </si>
  <si>
    <t>Cybersecurity measures for access control (computer, IT, OT access areas)</t>
  </si>
  <si>
    <t>101.630(c)(8)</t>
  </si>
  <si>
    <t>Physical security controls for IT and OT systems</t>
  </si>
  <si>
    <t>101.630(c)(9)</t>
  </si>
  <si>
    <t>Cybersecurity measures for monitoring</t>
  </si>
  <si>
    <t>101.630(c)(10)</t>
  </si>
  <si>
    <t>Audits and amendments to the Cybersecurity Plan</t>
  </si>
  <si>
    <t>101.630(c)(11)</t>
  </si>
  <si>
    <t>Reports of all cybersecurity audits/inspections, including documentation of resolved/mitigated vulnerabilities</t>
  </si>
  <si>
    <t>101.630(c)(12)</t>
  </si>
  <si>
    <t>Documentation of all identified, unresolved vulnerabilities (including those unresolved due to owner/operator risk acceptance)</t>
  </si>
  <si>
    <t>101.630(c)(13)</t>
  </si>
  <si>
    <t>Cyber incident reporting procedures in accordance with part 101 of this subchapter</t>
  </si>
  <si>
    <t>Cybersecurity Assessment</t>
  </si>
  <si>
    <t>101.630(c)(14)</t>
  </si>
  <si>
    <t>Each owner or operator must submit one copy of their Cybersecurity Plan for review and approval to the cognizant COTP or OCMI for a facility/OCS facility, or to MSC for a U.S.-flagged vessel.</t>
  </si>
  <si>
    <t>101.630(d)(1)</t>
  </si>
  <si>
    <t>Upon submission, the COTP, OCMI, or MSC will evaluate the Plan for compliance and either approve, require revisions, or disapprove.</t>
  </si>
  <si>
    <t>101.630(d)(1)(i)</t>
  </si>
  <si>
    <t>Approve the Cybersecurity Plan and return a letter indicating approval/conditional approval.</t>
  </si>
  <si>
    <t>101.630(d)(1)(ii)</t>
  </si>
  <si>
    <t>Require additional information or revisions and return the Plan with a description of needed changes.</t>
  </si>
  <si>
    <t>101.630(d)(1)(iii)</t>
  </si>
  <si>
    <t>Disapprove the Plan and return it with a statement of the reasons for disapproval.</t>
  </si>
  <si>
    <t>101.630(d)(1)(iv)</t>
  </si>
  <si>
    <t>If more time is needed, issue an acknowledgment allowing operation under the submitted Plan while under review.</t>
  </si>
  <si>
    <t>If a single Cybersecurity Plan covers two or more U.S.-flagged vessels/facilities/OCS facilities, it must address the specific cybersecurity risks for each.</t>
  </si>
  <si>
    <t>An approved Cybersecurity Plan is valid for 5 years from the date of approval.</t>
  </si>
  <si>
    <t>Amendments to the Cybersecurity Plan</t>
  </si>
  <si>
    <t>101.630(e)</t>
  </si>
  <si>
    <t>101.630(e)(1)(i)</t>
  </si>
  <si>
    <t>Amendments to a Coast Guard-approved Cybersecurity Plan may be initiated by the owner or operator, or the CySO.</t>
  </si>
  <si>
    <t>101.630(e)(1)(ii)</t>
  </si>
  <si>
    <t>If the COTP, OCMI, or MSC finds the Plan no longer meets requirements, they will return it with a letter explaining the needed amendments. The owner/operator has at least 60 days to submit proposed amendments. Until approval, temporary measures must be implemented to the satisfaction of the Coast Guard.</t>
  </si>
  <si>
    <t>101.630(e)(2)(i)</t>
  </si>
  <si>
    <t>Nothing in this section limits the owner/operator from implementing additional security measures not enumerated in the approved plan to address exigent security situations.</t>
  </si>
  <si>
    <t>101.630(e)(2)(ii)</t>
  </si>
  <si>
    <t>If implementing additional measures, the owner/operator must notify the cognizant COTP (for facilities/OCS facilities) or the MSC (for vessels) by the most rapid means practicable, describing the measures, the circumstances prompting them, and the expected duration.</t>
  </si>
  <si>
    <t>Audits</t>
  </si>
  <si>
    <t>101.630(f)</t>
  </si>
  <si>
    <t>101.630(f)(4)(i)</t>
  </si>
  <si>
    <t>101.630(f)(4)(ii)</t>
  </si>
  <si>
    <t>101.630(f)(4)(iii)</t>
  </si>
  <si>
    <t>Personnel conducting internal audits of the cybersecurity measures specified in the Plan or evaluating its implementation must</t>
  </si>
  <si>
    <t>Have knowledge of methods for conducting audits/inspections, as well as access control and monitoring techniques.</t>
  </si>
  <si>
    <t>Not have regularly assigned cybersecurity duties for the U.S.-flagged vessel, facility, or OCS facility being audited.</t>
  </si>
  <si>
    <t>Be independent of any cybersecurity measures being audited.</t>
  </si>
  <si>
    <t>101.635(a)</t>
  </si>
  <si>
    <t>General</t>
  </si>
  <si>
    <t>101.635(b)</t>
  </si>
  <si>
    <t>Drills</t>
  </si>
  <si>
    <t>Exercises</t>
  </si>
  <si>
    <t>101.635(c)(2)(i)</t>
  </si>
  <si>
    <t>101.635(c)(2)(ii)</t>
  </si>
  <si>
    <t>101.635(c)(2)(iii)</t>
  </si>
  <si>
    <t>101.635(c)(2)(iv)</t>
  </si>
  <si>
    <t>101.635(c)</t>
  </si>
  <si>
    <t>Exercises may be:</t>
  </si>
  <si>
    <t>Full-scale or live.</t>
  </si>
  <si>
    <t>Tabletop simulations.</t>
  </si>
  <si>
    <t>Combined with other appropriate exercises as required by 33 CFR 104.230, 105.220, or 106.225.</t>
  </si>
  <si>
    <t>A combination of the elements above</t>
  </si>
  <si>
    <t>101.650(a)</t>
  </si>
  <si>
    <t>Account security measures. Each owner or operator of a U.S.-flagged vessel, facility, or OCS facility must ensure, at a minimum, the following account security measures are in place and documented in Section 7 of the Cybersecurity Plan:</t>
  </si>
  <si>
    <t>101.650(b)</t>
  </si>
  <si>
    <t>Device security measures. Each owner or operator or designated CySO of a U.S.-flagged vessel, facility, or OCS facility must ensure the following device security measures are in place, addressed in Section 6 of the Cybersecurity Plan, and made available to the Coast Guard upon request:</t>
  </si>
  <si>
    <t>Data security measures. Each owner or operator or designated CySO of a U.S.-flagged vessel, facility, or OCS facility must ensure the following data security measures are in place and documented in Section 4 of the Cybersecurity Plan</t>
  </si>
  <si>
    <t>Cybersecurity training for personnel. The training program to address requirements under this paragraph must be documented in Sections 2 and 4 of the Cybersecurity Plan</t>
  </si>
  <si>
    <t>101.650(d)</t>
  </si>
  <si>
    <t>101.650(d)(1)(i)</t>
  </si>
  <si>
    <t>Training must cover relevant provisions of the Cybersecurity Plan.</t>
  </si>
  <si>
    <t>101.650(d)(1)(ii)</t>
  </si>
  <si>
    <t>Training must cover recognition and detection of cybersecurity threats and all types of cyber incidents.</t>
  </si>
  <si>
    <t>101.650(d)(1)(iii)</t>
  </si>
  <si>
    <t>Training must cover techniques used to circumvent cybersecurity measures.</t>
  </si>
  <si>
    <t>101.650(d)(1)(iv)</t>
  </si>
  <si>
    <t>Training must include procedures for reporting a cyber incident to the CySO.</t>
  </si>
  <si>
    <t>101.650(d)(1)(v)</t>
  </si>
  <si>
    <t>For personnel whose duties include using OT, training must cover OT-specific cybersecurity.</t>
  </si>
  <si>
    <t>Maintaining current knowledge of changing cybersecurity threats and countermeasures.</t>
  </si>
  <si>
    <t>Understanding their roles and responsibilities during a cyber incident and response procedure</t>
  </si>
  <si>
    <t>101.650(d)(2)(i)</t>
  </si>
  <si>
    <t>101.650(d)(2)(ii)</t>
  </si>
  <si>
    <t>Risk management. Each owner or operator or designated CySO of a U.S. flagged vessel, facility, or OCS facility must ensure the following measures for risk management are in place and documented in Sections 11 and 12 of the Cybersecurity Plan</t>
  </si>
  <si>
    <t>101.650(e)</t>
  </si>
  <si>
    <t>101.650(f)</t>
  </si>
  <si>
    <t>Supply chain. Each owner or operator or designated CySO of a U.S.-flagged vessel, facility, or OCS facility must ensure the following supply-chain measures are in place and documented in Section 4 of the Cybersecurity Plan</t>
  </si>
  <si>
    <t>Resilience. Each owner or operator or designated CySO of a U.S.-flagged vessel, facility, or OCS facility must ensure the following measures for resilience are in place and documented in Sections 3 and 9 of the Cybersecurity Plan</t>
  </si>
  <si>
    <t>101.650(g)</t>
  </si>
  <si>
    <t>101.650(h)</t>
  </si>
  <si>
    <t>Network segmentation. Each owner or operator or designated CySO of a U.S.-flagged vessel, facility, or OCS facility must ensure the following measures for network segmentation are in place and documented in Sections 7 and 8 of the Cybersecurity Plan</t>
  </si>
  <si>
    <t>Physical security. Each owner, operator, or designated CySO of a U.S. flagged vessel, facility, or OCS facility must ensure the following measures for physical security are in place and documented in Sections 7 and 8 of the Cybersecurity Plan</t>
  </si>
  <si>
    <t>101.650(i)</t>
  </si>
  <si>
    <t>Exercises may be vessel-, facility-, or OCS facility-specific, or part of a cooperative exercise program to exercise applicable vessel, facility, and OCS facility Cybersecurity Plans or comprehensive port exercises</t>
  </si>
  <si>
    <t>101.635(c)(3)</t>
  </si>
  <si>
    <t>101.65(c)</t>
  </si>
  <si>
    <t>Group</t>
  </si>
  <si>
    <t>Owner or Operator</t>
  </si>
  <si>
    <t>Date</t>
  </si>
  <si>
    <t>Vessel Name</t>
  </si>
  <si>
    <t>Location</t>
  </si>
  <si>
    <t>Assessor</t>
  </si>
  <si>
    <t>Main POC</t>
  </si>
  <si>
    <t>Applicable details per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</si>
</sst>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auto="1"/>
      </right>
      <top style="thick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/>
      <bottom style="dashed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/>
      <diagonal/>
    </border>
    <border>
      <left/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 style="thick">
        <color auto="1"/>
      </right>
      <top/>
      <bottom style="dashed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3" fillId="0" borderId="0" xfId="0" applyFont="1"/>
    <xf numFmtId="0" fontId="2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0" borderId="0" xfId="0" applyFont="1" applyAlignment="1">
      <alignment horizontal="right" vertical="center"/>
    </xf>
    <xf numFmtId="0" fontId="5" fillId="0" borderId="1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0" fillId="0" borderId="25" xfId="0" applyBorder="1"/>
    <xf numFmtId="0" fontId="5" fillId="0" borderId="22" xfId="0" applyFont="1" applyBorder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6" xfId="0" applyBorder="1"/>
    <xf numFmtId="0" fontId="7" fillId="0" borderId="18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0" fillId="0" borderId="27" xfId="0" applyBorder="1"/>
    <xf numFmtId="0" fontId="5" fillId="0" borderId="20" xfId="0" applyFont="1" applyBorder="1" applyAlignment="1">
      <alignment horizontal="left" vertical="center" indent="2"/>
    </xf>
    <xf numFmtId="0" fontId="5" fillId="0" borderId="22" xfId="0" applyFont="1" applyBorder="1" applyAlignment="1">
      <alignment horizontal="left" vertical="center" indent="2"/>
    </xf>
    <xf numFmtId="0" fontId="0" fillId="0" borderId="33" xfId="0" applyBorder="1"/>
    <xf numFmtId="164" fontId="5" fillId="0" borderId="20" xfId="0" applyNumberFormat="1" applyFont="1" applyBorder="1" applyAlignment="1">
      <alignment vertical="center"/>
    </xf>
    <xf numFmtId="0" fontId="5" fillId="0" borderId="19" xfId="0" applyFont="1" applyBorder="1"/>
    <xf numFmtId="0" fontId="5" fillId="0" borderId="24" xfId="0" applyFont="1" applyBorder="1"/>
    <xf numFmtId="0" fontId="5" fillId="0" borderId="21" xfId="0" applyFont="1" applyBorder="1" applyAlignment="1">
      <alignment horizontal="left" indent="2"/>
    </xf>
    <xf numFmtId="0" fontId="5" fillId="0" borderId="23" xfId="0" applyFont="1" applyBorder="1" applyAlignment="1">
      <alignment horizontal="left" indent="2"/>
    </xf>
    <xf numFmtId="0" fontId="5" fillId="0" borderId="21" xfId="0" applyFont="1" applyBorder="1"/>
    <xf numFmtId="0" fontId="5" fillId="0" borderId="32" xfId="0" applyFont="1" applyBorder="1" applyAlignment="1">
      <alignment horizontal="left" indent="2"/>
    </xf>
    <xf numFmtId="164" fontId="5" fillId="0" borderId="20" xfId="0" applyNumberFormat="1" applyFont="1" applyBorder="1" applyAlignment="1">
      <alignment horizontal="left" vertical="center"/>
    </xf>
    <xf numFmtId="0" fontId="5" fillId="0" borderId="23" xfId="0" applyFont="1" applyBorder="1"/>
    <xf numFmtId="0" fontId="5" fillId="0" borderId="32" xfId="0" applyFont="1" applyBorder="1"/>
    <xf numFmtId="0" fontId="5" fillId="0" borderId="20" xfId="0" applyFont="1" applyBorder="1" applyAlignment="1">
      <alignment horizontal="left" vertical="center" indent="4"/>
    </xf>
    <xf numFmtId="0" fontId="5" fillId="0" borderId="21" xfId="0" applyFont="1" applyBorder="1" applyAlignment="1">
      <alignment horizontal="left" indent="4"/>
    </xf>
    <xf numFmtId="0" fontId="5" fillId="0" borderId="24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1" xfId="0" applyFont="1" applyBorder="1" applyAlignment="1">
      <alignment horizontal="left"/>
    </xf>
    <xf numFmtId="0" fontId="5" fillId="0" borderId="21" xfId="0" applyFont="1" applyBorder="1" applyAlignment="1">
      <alignment horizontal="left" wrapText="1" indent="4"/>
    </xf>
    <xf numFmtId="0" fontId="5" fillId="0" borderId="14" xfId="0" applyFont="1" applyBorder="1" applyAlignment="1">
      <alignment horizontal="left" indent="2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indent="2"/>
    </xf>
    <xf numFmtId="0" fontId="5" fillId="0" borderId="31" xfId="0" applyFont="1" applyBorder="1" applyAlignment="1">
      <alignment horizontal="left" indent="2"/>
    </xf>
    <xf numFmtId="0" fontId="5" fillId="0" borderId="21" xfId="0" applyFont="1" applyBorder="1" applyAlignment="1">
      <alignment horizontal="left" wrapText="1" indent="2"/>
    </xf>
    <xf numFmtId="0" fontId="5" fillId="0" borderId="20" xfId="0" applyFont="1" applyBorder="1"/>
    <xf numFmtId="0" fontId="5" fillId="0" borderId="20" xfId="0" applyFont="1" applyBorder="1" applyAlignment="1">
      <alignment horizontal="left" indent="4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2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19" xfId="0" applyFont="1" applyBorder="1" applyAlignment="1">
      <alignment wrapText="1"/>
    </xf>
    <xf numFmtId="0" fontId="5" fillId="0" borderId="21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5" fillId="0" borderId="32" xfId="0" applyFont="1" applyBorder="1" applyAlignment="1">
      <alignment horizontal="left" wrapText="1"/>
    </xf>
    <xf numFmtId="0" fontId="5" fillId="0" borderId="3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right" vertical="center" wrapText="1" indent="5"/>
    </xf>
    <xf numFmtId="0" fontId="4" fillId="0" borderId="10" xfId="0" applyFont="1" applyBorder="1" applyAlignment="1">
      <alignment horizontal="right" vertical="center" indent="5"/>
    </xf>
    <xf numFmtId="0" fontId="4" fillId="0" borderId="12" xfId="0" applyFont="1" applyBorder="1" applyAlignment="1">
      <alignment horizontal="right" vertical="center" indent="5"/>
    </xf>
    <xf numFmtId="0" fontId="4" fillId="0" borderId="1" xfId="0" applyFont="1" applyBorder="1" applyAlignment="1">
      <alignment horizontal="right" vertical="center" indent="5"/>
    </xf>
    <xf numFmtId="0" fontId="4" fillId="0" borderId="0" xfId="0" applyFont="1" applyAlignment="1">
      <alignment horizontal="right" vertical="center" indent="5"/>
    </xf>
    <xf numFmtId="0" fontId="4" fillId="0" borderId="3" xfId="0" applyFont="1" applyBorder="1" applyAlignment="1">
      <alignment horizontal="right" vertical="center" indent="5"/>
    </xf>
    <xf numFmtId="0" fontId="4" fillId="0" borderId="13" xfId="0" applyFont="1" applyBorder="1" applyAlignment="1">
      <alignment horizontal="right" vertical="center" indent="5"/>
    </xf>
    <xf numFmtId="0" fontId="4" fillId="0" borderId="4" xfId="0" applyFont="1" applyBorder="1" applyAlignment="1">
      <alignment horizontal="right" vertical="center" indent="5"/>
    </xf>
    <xf numFmtId="0" fontId="4" fillId="0" borderId="5" xfId="0" applyFont="1" applyBorder="1" applyAlignment="1">
      <alignment horizontal="right" vertical="center" indent="5"/>
    </xf>
  </cellXfs>
  <cellStyles count="1">
    <cellStyle name="Normal" xfId="0" builtinId="0"/>
  </cellStyles>
  <dxfs count="6">
    <dxf>
      <fill>
        <patternFill>
          <bgColor rgb="FFFFFFCD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D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B9B9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B5-463C-BC92-A87328C845DE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3B5-463C-BC92-A87328C845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Dashboard!$E$17:$F$17</c:f>
              <c:strCache>
                <c:ptCount val="2"/>
                <c:pt idx="0">
                  <c:v>Lacks</c:v>
                </c:pt>
                <c:pt idx="1">
                  <c:v>Meets/Exceeds</c:v>
                </c:pt>
              </c:strCache>
            </c:strRef>
          </c:cat>
          <c:val>
            <c:numRef>
              <c:f>Dashboard!$E$18:$F$18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5-463C-BC92-A87328C845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710131410269131"/>
          <c:y val="0.83854111986001745"/>
          <c:w val="0.70579704105297558"/>
          <c:h val="0.13368110236220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136071</xdr:colOff>
      <xdr:row>15</xdr:row>
      <xdr:rowOff>81641</xdr:rowOff>
    </xdr:from>
    <xdr:to>
      <xdr:col>6</xdr:col>
      <xdr:colOff>549730</xdr:colOff>
      <xdr:row>35</xdr:row>
      <xdr:rowOff>130626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EF1E22-0F24-8DD6-3D95-4A1CD0A08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214312</xdr:colOff>
      <xdr:row>0</xdr:row>
      <xdr:rowOff>71438</xdr:rowOff>
    </xdr:from>
    <xdr:to>
      <xdr:col>1</xdr:col>
      <xdr:colOff>2428874</xdr:colOff>
      <xdr:row>4</xdr:row>
      <xdr:rowOff>108385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25E085F-8EDE-424E-9558-052A108FA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214312" y="71438"/>
          <a:ext cx="4081462" cy="7798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166688</xdr:colOff>
      <xdr:row>0</xdr:row>
      <xdr:rowOff>67828</xdr:rowOff>
    </xdr:from>
    <xdr:to>
      <xdr:col>2</xdr:col>
      <xdr:colOff>1027169</xdr:colOff>
      <xdr:row>4</xdr:row>
      <xdr:rowOff>101600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F95AE508-892B-12D6-A177-E4CD8738E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66688" y="67828"/>
          <a:ext cx="4081462" cy="7798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166688</xdr:colOff>
      <xdr:row>0</xdr:row>
      <xdr:rowOff>67828</xdr:rowOff>
    </xdr:from>
    <xdr:to>
      <xdr:col>2</xdr:col>
      <xdr:colOff>474719</xdr:colOff>
      <xdr:row>4</xdr:row>
      <xdr:rowOff>104775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1C34ACE-6955-4B92-A7D0-A2B587A2A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66688" y="67828"/>
          <a:ext cx="4058160" cy="777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278C-66B8-4C7A-BF27-C1A7531A6C5B}">
  <dimension ref="A1:G18"/>
  <sheetViews>
    <sheetView workbookViewId="0">
      <selection activeCell="N17" sqref="N17"/>
    </sheetView>
  </sheetViews>
  <sheetFormatPr defaultRowHeight="14.5"/>
  <cols>
    <col min="1" max="1" width="26.1796875" bestFit="1" customWidth="1"/>
    <col min="2" max="2" width="51.453125" customWidth="1"/>
    <col min="3" max="3" width="31.7265625" customWidth="1"/>
    <col min="4" max="4" width="11.6328125" customWidth="1"/>
  </cols>
  <sheetData>
    <row r="1" spans="1:7" ht="14.75" customHeight="1">
      <c r="A1" s="72"/>
      <c r="B1" s="73"/>
      <c r="C1" s="82" t="s">
        <v>201</v>
      </c>
      <c r="D1" s="83"/>
      <c r="E1" s="83"/>
      <c r="F1" s="83"/>
      <c r="G1" s="83"/>
    </row>
    <row r="2" spans="1:7" ht="14.75" customHeight="1">
      <c r="A2" s="74"/>
      <c r="B2" s="75"/>
      <c r="C2" s="82"/>
      <c r="D2" s="83"/>
      <c r="E2" s="83"/>
      <c r="F2" s="83"/>
      <c r="G2" s="83"/>
    </row>
    <row r="3" spans="1:7" ht="14.75" customHeight="1">
      <c r="A3" s="74"/>
      <c r="B3" s="75"/>
      <c r="C3" s="82"/>
      <c r="D3" s="83"/>
      <c r="E3" s="83"/>
      <c r="F3" s="83"/>
      <c r="G3" s="83"/>
    </row>
    <row r="4" spans="1:7" ht="14.75" customHeight="1">
      <c r="A4" s="74"/>
      <c r="B4" s="75"/>
      <c r="C4" s="82"/>
      <c r="D4" s="83"/>
      <c r="E4" s="83"/>
      <c r="F4" s="83"/>
      <c r="G4" s="83"/>
    </row>
    <row r="5" spans="1:7" ht="14.75" customHeight="1" thickBot="1">
      <c r="A5" s="76"/>
      <c r="B5" s="77"/>
      <c r="C5" s="12"/>
      <c r="D5" s="12"/>
      <c r="E5" s="12"/>
      <c r="F5" s="12"/>
      <c r="G5" s="12"/>
    </row>
    <row r="6" spans="1:7" ht="14.75" customHeight="1">
      <c r="A6" s="78" t="s">
        <v>206</v>
      </c>
      <c r="B6" s="79"/>
      <c r="C6" s="1"/>
      <c r="D6" s="1"/>
      <c r="E6" s="1"/>
    </row>
    <row r="7" spans="1:7" ht="14.75" customHeight="1">
      <c r="A7" s="80"/>
      <c r="B7" s="81"/>
      <c r="C7" s="2" t="s">
        <v>10</v>
      </c>
      <c r="D7" s="2" t="s">
        <v>8</v>
      </c>
      <c r="E7" s="10" t="s">
        <v>4</v>
      </c>
      <c r="F7" s="2" t="s">
        <v>5</v>
      </c>
      <c r="G7" s="2" t="s">
        <v>6</v>
      </c>
    </row>
    <row r="8" spans="1:7" ht="14.75" customHeight="1">
      <c r="A8" s="80"/>
      <c r="B8" s="81"/>
      <c r="C8" t="s">
        <v>348</v>
      </c>
      <c r="D8" s="9">
        <f>COUNTIFS(Requirements!A:A, C8, Requirements!C:C, "&lt;&gt;")</f>
        <v>9</v>
      </c>
      <c r="E8">
        <f>COUNTIFS(Requirements!A:A, C8, Requirements!D:D, "Lacks")</f>
        <v>0</v>
      </c>
      <c r="F8">
        <f>COUNTIFS(Requirements!A:A, C8, Requirements!D:D, "Meets")</f>
        <v>0</v>
      </c>
      <c r="G8">
        <f>COUNTIFS(Requirements!A:A, C8, Requirements!D:D, "Exceeds")</f>
        <v>0</v>
      </c>
    </row>
    <row r="9" spans="1:7" ht="14.75" customHeight="1">
      <c r="A9" s="80"/>
      <c r="B9" s="81"/>
      <c r="C9" t="s">
        <v>207</v>
      </c>
      <c r="D9" s="9">
        <f>COUNTIFS(Requirements!A:A, C9, Requirements!C:C, "&lt;&gt;")</f>
        <v>32</v>
      </c>
      <c r="E9">
        <f>COUNTIFS(Requirements!A:A, C9, Requirements!D:D, "Lacks")</f>
        <v>0</v>
      </c>
      <c r="F9">
        <f>COUNTIFS(Requirements!A:A, C9, Requirements!D:D, "Meets")</f>
        <v>0</v>
      </c>
      <c r="G9">
        <f>COUNTIFS(Requirements!A:A, C9, Requirements!D:D, "Exceeds")</f>
        <v>0</v>
      </c>
    </row>
    <row r="10" spans="1:7" ht="14.75" customHeight="1">
      <c r="A10" s="80"/>
      <c r="B10" s="81"/>
      <c r="C10" t="s">
        <v>208</v>
      </c>
      <c r="D10" s="9">
        <f>COUNTIFS(Requirements!A:A, C10, Requirements!C:C, "&lt;&gt;")</f>
        <v>41</v>
      </c>
      <c r="E10">
        <f>COUNTIFS(Requirements!A:A, C10, Requirements!D:D, "Lacks")</f>
        <v>0</v>
      </c>
      <c r="F10">
        <f>COUNTIFS(Requirements!A:A, C10, Requirements!D:D, "Meets")</f>
        <v>0</v>
      </c>
      <c r="G10">
        <f>COUNTIFS(Requirements!A:A, C10, Requirements!D:D, "Exceeds")</f>
        <v>0</v>
      </c>
    </row>
    <row r="11" spans="1:7" ht="18.5">
      <c r="A11" s="7" t="s">
        <v>0</v>
      </c>
      <c r="B11" s="4"/>
      <c r="C11" t="s">
        <v>209</v>
      </c>
      <c r="D11" s="9">
        <f>COUNTIFS(Requirements!A:A, C11, Requirements!C:C, "&lt;&gt;")</f>
        <v>15</v>
      </c>
      <c r="E11">
        <f>COUNTIFS(Requirements!A:A, C11, Requirements!D:D, "Lacks")</f>
        <v>0</v>
      </c>
      <c r="F11">
        <f>COUNTIFS(Requirements!A:A, C11, Requirements!D:D, "Meets")</f>
        <v>0</v>
      </c>
      <c r="G11">
        <f>COUNTIFS(Requirements!A:A, C11, Requirements!D:D, "Exceeds")</f>
        <v>0</v>
      </c>
    </row>
    <row r="12" spans="1:7" ht="14.75" customHeight="1">
      <c r="A12" s="2" t="s">
        <v>202</v>
      </c>
      <c r="B12" s="4" t="s">
        <v>1</v>
      </c>
      <c r="C12" t="s">
        <v>210</v>
      </c>
      <c r="D12" s="9">
        <f>COUNTIFS(Requirements!A:A, C12, Requirements!C:C, "&lt;&gt;")</f>
        <v>1</v>
      </c>
      <c r="E12">
        <f>COUNTIFS(Requirements!A:A, C12, Requirements!D:D, "Lacks")</f>
        <v>0</v>
      </c>
      <c r="F12">
        <f>COUNTIFS(Requirements!A:A, C12, Requirements!D:D, "Meets")</f>
        <v>0</v>
      </c>
      <c r="G12">
        <f>COUNTIFS(Requirements!A:A, C12, Requirements!D:D, "Exceeds")</f>
        <v>0</v>
      </c>
    </row>
    <row r="13" spans="1:7" ht="14.75" customHeight="1">
      <c r="A13" s="2" t="s">
        <v>203</v>
      </c>
      <c r="B13" s="4" t="s">
        <v>205</v>
      </c>
      <c r="C13" t="s">
        <v>211</v>
      </c>
      <c r="D13" s="9">
        <f>COUNTIFS(Requirements!A:A, C13, Requirements!C:C, "&lt;&gt;")</f>
        <v>2</v>
      </c>
      <c r="E13">
        <f>COUNTIFS(Requirements!A:A, C13, Requirements!D:D, "Lacks")</f>
        <v>0</v>
      </c>
      <c r="F13">
        <f>COUNTIFS(Requirements!A:A, C13, Requirements!D:D, "Meets")</f>
        <v>0</v>
      </c>
      <c r="G13">
        <f>COUNTIFS(Requirements!A:A, C13, Requirements!D:D, "Exceeds")</f>
        <v>0</v>
      </c>
    </row>
    <row r="14" spans="1:7" ht="14.75" customHeight="1">
      <c r="A14" s="2" t="s">
        <v>204</v>
      </c>
      <c r="B14" s="4" t="s">
        <v>354</v>
      </c>
      <c r="C14" t="s">
        <v>212</v>
      </c>
      <c r="D14" s="9">
        <f>COUNTIFS(Requirements!A:A, C14, Requirements!C:C, "&lt;&gt;")</f>
        <v>57</v>
      </c>
      <c r="E14">
        <f>COUNTIFS(Requirements!A:A, C14, Requirements!D:D, "Lacks")</f>
        <v>0</v>
      </c>
      <c r="F14">
        <f>COUNTIFS(Requirements!A:A, C14, Requirements!D:D, "Meets")</f>
        <v>0</v>
      </c>
      <c r="G14">
        <f>COUNTIFS(Requirements!A:A, C14, Requirements!D:D, "Exceeds")</f>
        <v>0</v>
      </c>
    </row>
    <row r="15" spans="1:7" ht="14.75" customHeight="1">
      <c r="A15" s="2"/>
      <c r="B15" s="4"/>
      <c r="C15" s="11" t="s">
        <v>7</v>
      </c>
      <c r="D15">
        <f>SUM(D8:D14)</f>
        <v>157</v>
      </c>
      <c r="E15">
        <f t="shared" ref="E15:G15" si="0">SUM(E8:E14)</f>
        <v>0</v>
      </c>
      <c r="F15">
        <f t="shared" si="0"/>
        <v>0</v>
      </c>
      <c r="G15">
        <f t="shared" si="0"/>
        <v>0</v>
      </c>
    </row>
    <row r="16" spans="1:7" ht="14.75" customHeight="1">
      <c r="A16" s="2"/>
      <c r="B16" s="4"/>
    </row>
    <row r="17" spans="1:6" ht="15" customHeight="1" thickBot="1">
      <c r="A17" s="6"/>
      <c r="B17" s="5"/>
      <c r="E17" t="s">
        <v>4</v>
      </c>
      <c r="F17" t="s">
        <v>9</v>
      </c>
    </row>
    <row r="18" spans="1:6">
      <c r="E18">
        <f>E15</f>
        <v>0</v>
      </c>
      <c r="F18">
        <f>SUM(F15:G15)</f>
        <v>0</v>
      </c>
    </row>
  </sheetData>
  <mergeCells count="3">
    <mergeCell ref="A1:B5"/>
    <mergeCell ref="A6:B10"/>
    <mergeCell ref="C1:G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6639-93D0-4C5B-991C-B41E38991362}">
  <dimension ref="A1:L173"/>
  <sheetViews>
    <sheetView topLeftCell="A124" zoomScaleNormal="100" workbookViewId="0">
      <selection activeCell="C41" sqref="C41"/>
    </sheetView>
  </sheetViews>
  <sheetFormatPr defaultRowHeight="14.5"/>
  <cols>
    <col min="1" max="1" width="26.26953125" bestFit="1" customWidth="1"/>
    <col min="2" max="2" width="18.81640625" customWidth="1"/>
    <col min="3" max="3" width="117.7265625" style="1" customWidth="1"/>
    <col min="4" max="4" width="13.7265625" customWidth="1"/>
    <col min="5" max="5" width="52.54296875" customWidth="1"/>
    <col min="6" max="6" width="45.1796875" customWidth="1"/>
    <col min="7" max="7" width="10.1796875" customWidth="1"/>
    <col min="8" max="8" width="147.6328125" style="1" bestFit="1" customWidth="1"/>
    <col min="9" max="9" width="7.453125" customWidth="1"/>
    <col min="10" max="10" width="13.7265625" customWidth="1"/>
    <col min="11" max="11" width="46.08984375" customWidth="1"/>
    <col min="12" max="12" width="42" customWidth="1"/>
    <col min="16" max="16" width="46.453125" customWidth="1"/>
  </cols>
  <sheetData>
    <row r="1" spans="1:12" ht="14.75" customHeight="1">
      <c r="A1" s="84" t="s">
        <v>200</v>
      </c>
      <c r="B1" s="85"/>
      <c r="C1" s="86"/>
      <c r="D1" s="12"/>
      <c r="E1" s="12"/>
    </row>
    <row r="2" spans="1:12" ht="14.75" customHeight="1">
      <c r="A2" s="87"/>
      <c r="B2" s="88"/>
      <c r="C2" s="89"/>
      <c r="D2" s="12"/>
      <c r="E2" s="12"/>
    </row>
    <row r="3" spans="1:12" ht="14.75" customHeight="1">
      <c r="A3" s="87"/>
      <c r="B3" s="88"/>
      <c r="C3" s="89"/>
      <c r="D3" s="12"/>
      <c r="E3" s="12"/>
    </row>
    <row r="4" spans="1:12" ht="14.75" customHeight="1">
      <c r="A4" s="87"/>
      <c r="B4" s="88"/>
      <c r="C4" s="89"/>
      <c r="D4" s="12"/>
      <c r="E4" s="12"/>
    </row>
    <row r="5" spans="1:12" ht="15" customHeight="1" thickBot="1">
      <c r="A5" s="90"/>
      <c r="B5" s="91"/>
      <c r="C5" s="92"/>
      <c r="D5" s="12"/>
      <c r="E5" s="12"/>
      <c r="F5" s="2"/>
      <c r="G5" s="2"/>
      <c r="H5" s="10"/>
      <c r="I5" s="2"/>
      <c r="J5" s="2"/>
    </row>
    <row r="6" spans="1:12" ht="15" customHeight="1">
      <c r="A6" s="17"/>
      <c r="B6" s="17"/>
      <c r="C6" s="65"/>
      <c r="D6" s="12"/>
      <c r="E6" s="12"/>
      <c r="F6" s="2"/>
      <c r="G6" s="2"/>
      <c r="H6" s="10"/>
      <c r="I6" s="2"/>
      <c r="J6" s="2"/>
    </row>
    <row r="7" spans="1:12" ht="21.5" thickBot="1">
      <c r="A7" s="3" t="s">
        <v>347</v>
      </c>
      <c r="B7" s="13" t="s">
        <v>2</v>
      </c>
      <c r="C7" s="64" t="s">
        <v>3</v>
      </c>
      <c r="D7" s="3" t="s">
        <v>11</v>
      </c>
      <c r="E7" s="3" t="s">
        <v>12</v>
      </c>
      <c r="F7" s="2"/>
      <c r="G7" s="2"/>
      <c r="H7" s="10"/>
      <c r="I7" s="2"/>
      <c r="J7" s="2"/>
    </row>
    <row r="8" spans="1:12" ht="45" customHeight="1" thickTop="1">
      <c r="A8" s="55" t="s">
        <v>348</v>
      </c>
      <c r="B8" s="18" t="s">
        <v>13</v>
      </c>
      <c r="C8" s="66" t="s">
        <v>14</v>
      </c>
      <c r="D8" s="23"/>
      <c r="E8" s="14"/>
      <c r="G8" s="9"/>
      <c r="H8"/>
    </row>
    <row r="9" spans="1:12" ht="45" customHeight="1">
      <c r="A9" s="55" t="s">
        <v>348</v>
      </c>
      <c r="B9" s="19" t="s">
        <v>213</v>
      </c>
      <c r="C9" s="44" t="s">
        <v>214</v>
      </c>
      <c r="D9" s="24"/>
      <c r="E9" s="15"/>
      <c r="G9" s="9"/>
      <c r="H9"/>
      <c r="L9" s="8" t="s">
        <v>4</v>
      </c>
    </row>
    <row r="10" spans="1:12" ht="18" customHeight="1">
      <c r="A10" s="55" t="s">
        <v>348</v>
      </c>
      <c r="B10" s="29" t="s">
        <v>15</v>
      </c>
      <c r="C10" s="67" t="s">
        <v>16</v>
      </c>
      <c r="D10" s="24"/>
      <c r="E10" s="15"/>
      <c r="G10" s="9"/>
      <c r="H10"/>
      <c r="L10" s="8" t="s">
        <v>5</v>
      </c>
    </row>
    <row r="11" spans="1:12" ht="18" customHeight="1">
      <c r="A11" s="55" t="s">
        <v>348</v>
      </c>
      <c r="B11" s="29" t="s">
        <v>17</v>
      </c>
      <c r="C11" s="67" t="s">
        <v>18</v>
      </c>
      <c r="D11" s="24"/>
      <c r="E11" s="15"/>
      <c r="G11" s="9"/>
      <c r="H11"/>
      <c r="L11" s="8" t="s">
        <v>6</v>
      </c>
    </row>
    <row r="12" spans="1:12" ht="18" customHeight="1">
      <c r="A12" s="55" t="s">
        <v>348</v>
      </c>
      <c r="B12" s="29" t="s">
        <v>19</v>
      </c>
      <c r="C12" s="67" t="s">
        <v>20</v>
      </c>
      <c r="D12" s="24"/>
      <c r="E12" s="15"/>
      <c r="G12" s="9"/>
      <c r="H12"/>
    </row>
    <row r="13" spans="1:12" ht="18" customHeight="1">
      <c r="A13" s="55" t="s">
        <v>348</v>
      </c>
      <c r="B13" s="29" t="s">
        <v>21</v>
      </c>
      <c r="C13" s="67" t="s">
        <v>22</v>
      </c>
      <c r="D13" s="24"/>
      <c r="E13" s="15"/>
      <c r="G13" s="9"/>
      <c r="H13"/>
    </row>
    <row r="14" spans="1:12" ht="18" customHeight="1">
      <c r="A14" s="55" t="s">
        <v>348</v>
      </c>
      <c r="B14" s="29" t="s">
        <v>23</v>
      </c>
      <c r="C14" s="67" t="s">
        <v>24</v>
      </c>
      <c r="D14" s="24"/>
      <c r="E14" s="15"/>
      <c r="G14" s="9"/>
      <c r="H14"/>
    </row>
    <row r="15" spans="1:12" ht="18" customHeight="1">
      <c r="A15" s="55" t="s">
        <v>348</v>
      </c>
      <c r="B15" s="29" t="s">
        <v>25</v>
      </c>
      <c r="C15" s="67" t="s">
        <v>26</v>
      </c>
      <c r="D15" s="24"/>
      <c r="E15" s="15"/>
      <c r="G15" s="9"/>
      <c r="H15"/>
    </row>
    <row r="16" spans="1:12" ht="18" customHeight="1" thickBot="1">
      <c r="A16" s="55" t="s">
        <v>348</v>
      </c>
      <c r="B16" s="30" t="s">
        <v>27</v>
      </c>
      <c r="C16" s="68" t="s">
        <v>28</v>
      </c>
      <c r="D16" s="25"/>
      <c r="E16" s="22"/>
    </row>
    <row r="17" spans="1:5" ht="18" customHeight="1" thickTop="1">
      <c r="A17" s="55" t="s">
        <v>207</v>
      </c>
      <c r="B17" s="19" t="s">
        <v>29</v>
      </c>
      <c r="C17" s="45" t="s">
        <v>30</v>
      </c>
      <c r="D17" s="24"/>
      <c r="E17" s="15"/>
    </row>
    <row r="18" spans="1:5" ht="18" customHeight="1">
      <c r="A18" s="55" t="s">
        <v>207</v>
      </c>
      <c r="B18" s="19" t="s">
        <v>31</v>
      </c>
      <c r="C18" s="45" t="s">
        <v>32</v>
      </c>
      <c r="D18" s="24"/>
      <c r="E18" s="15"/>
    </row>
    <row r="19" spans="1:5" ht="18" customHeight="1">
      <c r="A19" s="55" t="s">
        <v>207</v>
      </c>
      <c r="B19" s="19" t="s">
        <v>33</v>
      </c>
      <c r="C19" s="45" t="s">
        <v>34</v>
      </c>
      <c r="D19" s="24"/>
      <c r="E19" s="15"/>
    </row>
    <row r="20" spans="1:5" ht="18" customHeight="1">
      <c r="A20" s="55" t="s">
        <v>207</v>
      </c>
      <c r="B20" s="19" t="s">
        <v>215</v>
      </c>
      <c r="C20" s="45" t="s">
        <v>216</v>
      </c>
      <c r="D20" s="24"/>
      <c r="E20" s="15"/>
    </row>
    <row r="21" spans="1:5" ht="18" customHeight="1">
      <c r="A21" s="55" t="s">
        <v>207</v>
      </c>
      <c r="B21" s="29" t="s">
        <v>35</v>
      </c>
      <c r="C21" s="67" t="s">
        <v>36</v>
      </c>
      <c r="D21" s="24"/>
      <c r="E21" s="15"/>
    </row>
    <row r="22" spans="1:5" ht="18" customHeight="1">
      <c r="A22" s="55" t="s">
        <v>207</v>
      </c>
      <c r="B22" s="29" t="s">
        <v>37</v>
      </c>
      <c r="C22" s="67" t="s">
        <v>38</v>
      </c>
      <c r="D22" s="24"/>
      <c r="E22" s="15"/>
    </row>
    <row r="23" spans="1:5" ht="18" customHeight="1">
      <c r="A23" s="55" t="s">
        <v>207</v>
      </c>
      <c r="B23" s="29" t="s">
        <v>39</v>
      </c>
      <c r="C23" s="67" t="s">
        <v>40</v>
      </c>
      <c r="D23" s="24"/>
      <c r="E23" s="15"/>
    </row>
    <row r="24" spans="1:5" ht="18" customHeight="1">
      <c r="A24" s="55" t="s">
        <v>207</v>
      </c>
      <c r="B24" s="29" t="s">
        <v>41</v>
      </c>
      <c r="C24" s="67" t="s">
        <v>42</v>
      </c>
      <c r="D24" s="24"/>
      <c r="E24" s="15"/>
    </row>
    <row r="25" spans="1:5" ht="18" customHeight="1">
      <c r="A25" s="55" t="s">
        <v>207</v>
      </c>
      <c r="B25" s="29" t="s">
        <v>43</v>
      </c>
      <c r="C25" s="67" t="s">
        <v>44</v>
      </c>
      <c r="D25" s="24"/>
      <c r="E25" s="15"/>
    </row>
    <row r="26" spans="1:5" ht="18" customHeight="1">
      <c r="A26" s="55" t="s">
        <v>207</v>
      </c>
      <c r="B26" s="29" t="s">
        <v>45</v>
      </c>
      <c r="C26" s="67" t="s">
        <v>46</v>
      </c>
      <c r="D26" s="24"/>
      <c r="E26" s="15"/>
    </row>
    <row r="27" spans="1:5" ht="18" customHeight="1">
      <c r="A27" s="55" t="s">
        <v>207</v>
      </c>
      <c r="B27" s="29" t="s">
        <v>47</v>
      </c>
      <c r="C27" s="67" t="s">
        <v>48</v>
      </c>
      <c r="D27" s="24"/>
      <c r="E27" s="15"/>
    </row>
    <row r="28" spans="1:5" ht="18" customHeight="1">
      <c r="A28" s="55" t="s">
        <v>207</v>
      </c>
      <c r="B28" s="29" t="s">
        <v>49</v>
      </c>
      <c r="C28" s="67" t="s">
        <v>50</v>
      </c>
      <c r="D28" s="24"/>
      <c r="E28" s="15"/>
    </row>
    <row r="29" spans="1:5" ht="18" customHeight="1">
      <c r="A29" s="55" t="s">
        <v>207</v>
      </c>
      <c r="B29" s="29" t="s">
        <v>51</v>
      </c>
      <c r="C29" s="67" t="s">
        <v>52</v>
      </c>
      <c r="D29" s="24"/>
      <c r="E29" s="15"/>
    </row>
    <row r="30" spans="1:5" ht="18" customHeight="1">
      <c r="A30" s="55" t="s">
        <v>207</v>
      </c>
      <c r="B30" s="29" t="s">
        <v>53</v>
      </c>
      <c r="C30" s="67" t="s">
        <v>54</v>
      </c>
      <c r="D30" s="24"/>
      <c r="E30" s="15"/>
    </row>
    <row r="31" spans="1:5" ht="18" customHeight="1">
      <c r="A31" s="55" t="s">
        <v>207</v>
      </c>
      <c r="B31" s="29" t="s">
        <v>55</v>
      </c>
      <c r="C31" s="67" t="s">
        <v>56</v>
      </c>
      <c r="D31" s="24"/>
      <c r="E31" s="15"/>
    </row>
    <row r="32" spans="1:5" ht="18" customHeight="1">
      <c r="A32" s="55" t="s">
        <v>207</v>
      </c>
      <c r="B32" s="29" t="s">
        <v>57</v>
      </c>
      <c r="C32" s="67" t="s">
        <v>58</v>
      </c>
      <c r="D32" s="24"/>
      <c r="E32" s="15"/>
    </row>
    <row r="33" spans="1:5" ht="18" customHeight="1">
      <c r="A33" s="55" t="s">
        <v>207</v>
      </c>
      <c r="B33" s="29" t="s">
        <v>59</v>
      </c>
      <c r="C33" s="67" t="s">
        <v>60</v>
      </c>
      <c r="D33" s="24"/>
      <c r="E33" s="15"/>
    </row>
    <row r="34" spans="1:5" ht="18" customHeight="1">
      <c r="A34" s="55" t="s">
        <v>207</v>
      </c>
      <c r="B34" s="29" t="s">
        <v>61</v>
      </c>
      <c r="C34" s="67" t="s">
        <v>62</v>
      </c>
      <c r="D34" s="24"/>
      <c r="E34" s="15"/>
    </row>
    <row r="35" spans="1:5" ht="18" customHeight="1">
      <c r="A35" s="55" t="s">
        <v>207</v>
      </c>
      <c r="B35" s="29" t="s">
        <v>63</v>
      </c>
      <c r="C35" s="67" t="s">
        <v>64</v>
      </c>
      <c r="D35" s="24"/>
      <c r="E35" s="15"/>
    </row>
    <row r="36" spans="1:5" ht="18" customHeight="1">
      <c r="A36" s="55" t="s">
        <v>207</v>
      </c>
      <c r="B36" s="49" t="s">
        <v>65</v>
      </c>
      <c r="C36" s="67" t="s">
        <v>66</v>
      </c>
      <c r="D36" s="28"/>
      <c r="E36" s="16"/>
    </row>
    <row r="37" spans="1:5" ht="18" customHeight="1">
      <c r="A37" s="55" t="s">
        <v>207</v>
      </c>
      <c r="B37" s="50" t="s">
        <v>217</v>
      </c>
      <c r="C37" s="67" t="s">
        <v>218</v>
      </c>
      <c r="D37" s="28"/>
      <c r="E37" s="16"/>
    </row>
    <row r="38" spans="1:5" ht="18" customHeight="1">
      <c r="A38" s="55" t="s">
        <v>207</v>
      </c>
      <c r="B38" s="50" t="s">
        <v>219</v>
      </c>
      <c r="C38" s="67" t="s">
        <v>220</v>
      </c>
      <c r="D38" s="28"/>
      <c r="E38" s="16"/>
    </row>
    <row r="39" spans="1:5" ht="18" customHeight="1">
      <c r="A39" s="55" t="s">
        <v>207</v>
      </c>
      <c r="B39" s="50" t="s">
        <v>221</v>
      </c>
      <c r="C39" s="67" t="s">
        <v>222</v>
      </c>
      <c r="D39" s="28"/>
      <c r="E39" s="16"/>
    </row>
    <row r="40" spans="1:5" ht="18" customHeight="1">
      <c r="A40" s="55" t="s">
        <v>207</v>
      </c>
      <c r="B40" s="50" t="s">
        <v>223</v>
      </c>
      <c r="C40" s="67" t="s">
        <v>224</v>
      </c>
      <c r="D40" s="28"/>
      <c r="E40" s="16"/>
    </row>
    <row r="41" spans="1:5" ht="18" customHeight="1">
      <c r="A41" s="55" t="s">
        <v>207</v>
      </c>
      <c r="B41" s="50" t="s">
        <v>225</v>
      </c>
      <c r="C41" s="67" t="s">
        <v>226</v>
      </c>
      <c r="D41" s="28"/>
      <c r="E41" s="16"/>
    </row>
    <row r="42" spans="1:5" ht="18" customHeight="1">
      <c r="A42" s="55" t="s">
        <v>207</v>
      </c>
      <c r="B42" s="50" t="s">
        <v>227</v>
      </c>
      <c r="C42" s="67" t="s">
        <v>228</v>
      </c>
      <c r="D42" s="28"/>
      <c r="E42" s="16"/>
    </row>
    <row r="43" spans="1:5" ht="18" customHeight="1">
      <c r="A43" s="55" t="s">
        <v>207</v>
      </c>
      <c r="B43" s="50" t="s">
        <v>229</v>
      </c>
      <c r="C43" s="67" t="s">
        <v>230</v>
      </c>
      <c r="D43" s="28"/>
      <c r="E43" s="16"/>
    </row>
    <row r="44" spans="1:5" ht="18" customHeight="1">
      <c r="A44" s="55" t="s">
        <v>207</v>
      </c>
      <c r="B44" s="50" t="s">
        <v>231</v>
      </c>
      <c r="C44" s="67" t="s">
        <v>232</v>
      </c>
      <c r="D44" s="28"/>
      <c r="E44" s="16"/>
    </row>
    <row r="45" spans="1:5" ht="18" customHeight="1">
      <c r="A45" s="55" t="s">
        <v>207</v>
      </c>
      <c r="B45" s="50" t="s">
        <v>233</v>
      </c>
      <c r="C45" s="67" t="s">
        <v>234</v>
      </c>
      <c r="D45" s="28"/>
      <c r="E45" s="16"/>
    </row>
    <row r="46" spans="1:5" ht="18" customHeight="1">
      <c r="A46" s="55" t="s">
        <v>207</v>
      </c>
      <c r="B46" s="51" t="s">
        <v>235</v>
      </c>
      <c r="C46" s="69" t="s">
        <v>236</v>
      </c>
      <c r="D46" s="28"/>
      <c r="E46" s="16"/>
    </row>
    <row r="47" spans="1:5" ht="18" customHeight="1">
      <c r="A47" s="55" t="s">
        <v>207</v>
      </c>
      <c r="B47" s="48" t="s">
        <v>237</v>
      </c>
      <c r="C47" s="69" t="s">
        <v>238</v>
      </c>
      <c r="D47" s="28"/>
      <c r="E47" s="16"/>
    </row>
    <row r="48" spans="1:5" ht="18" customHeight="1" thickBot="1">
      <c r="A48" s="55" t="s">
        <v>207</v>
      </c>
      <c r="B48" s="48" t="s">
        <v>239</v>
      </c>
      <c r="C48" s="69" t="s">
        <v>240</v>
      </c>
      <c r="D48" s="28"/>
      <c r="E48" s="16"/>
    </row>
    <row r="49" spans="1:5" ht="18" customHeight="1" thickTop="1">
      <c r="A49" s="55" t="s">
        <v>208</v>
      </c>
      <c r="B49" s="18" t="s">
        <v>67</v>
      </c>
      <c r="C49" s="66" t="s">
        <v>68</v>
      </c>
      <c r="D49" s="23"/>
      <c r="E49" s="14"/>
    </row>
    <row r="50" spans="1:5" ht="18" customHeight="1">
      <c r="A50" s="55" t="s">
        <v>208</v>
      </c>
      <c r="B50" s="19" t="s">
        <v>69</v>
      </c>
      <c r="C50" s="45" t="s">
        <v>70</v>
      </c>
      <c r="D50" s="24"/>
      <c r="E50" s="15"/>
    </row>
    <row r="51" spans="1:5" ht="18" customHeight="1">
      <c r="A51" s="55" t="s">
        <v>208</v>
      </c>
      <c r="B51" s="19" t="s">
        <v>71</v>
      </c>
      <c r="C51" s="45" t="s">
        <v>72</v>
      </c>
      <c r="D51" s="24"/>
      <c r="E51" s="15"/>
    </row>
    <row r="52" spans="1:5" ht="18" customHeight="1">
      <c r="A52" s="55" t="s">
        <v>208</v>
      </c>
      <c r="B52" s="50" t="s">
        <v>241</v>
      </c>
      <c r="C52" s="67" t="s">
        <v>242</v>
      </c>
      <c r="D52" s="24"/>
      <c r="E52" s="15"/>
    </row>
    <row r="53" spans="1:5" ht="18" customHeight="1">
      <c r="A53" s="55" t="s">
        <v>208</v>
      </c>
      <c r="B53" s="50" t="s">
        <v>243</v>
      </c>
      <c r="C53" s="67" t="s">
        <v>244</v>
      </c>
      <c r="D53" s="24"/>
      <c r="E53" s="15"/>
    </row>
    <row r="54" spans="1:5" ht="18" customHeight="1">
      <c r="A54" s="55" t="s">
        <v>208</v>
      </c>
      <c r="B54" s="50" t="s">
        <v>245</v>
      </c>
      <c r="C54" s="67" t="s">
        <v>209</v>
      </c>
      <c r="D54" s="24"/>
      <c r="E54" s="15"/>
    </row>
    <row r="55" spans="1:5" ht="18" customHeight="1">
      <c r="A55" s="55" t="s">
        <v>208</v>
      </c>
      <c r="B55" s="50" t="s">
        <v>246</v>
      </c>
      <c r="C55" s="67" t="s">
        <v>210</v>
      </c>
      <c r="D55" s="24"/>
      <c r="E55" s="15"/>
    </row>
    <row r="56" spans="1:5" ht="18" customHeight="1">
      <c r="A56" s="55" t="s">
        <v>208</v>
      </c>
      <c r="B56" s="50" t="s">
        <v>247</v>
      </c>
      <c r="C56" s="67" t="s">
        <v>211</v>
      </c>
      <c r="D56" s="24"/>
      <c r="E56" s="15"/>
    </row>
    <row r="57" spans="1:5" ht="18" customHeight="1">
      <c r="A57" s="55" t="s">
        <v>208</v>
      </c>
      <c r="B57" s="50" t="s">
        <v>248</v>
      </c>
      <c r="C57" s="67" t="s">
        <v>249</v>
      </c>
      <c r="D57" s="24"/>
      <c r="E57" s="15"/>
    </row>
    <row r="58" spans="1:5" ht="18" customHeight="1">
      <c r="A58" s="55" t="s">
        <v>208</v>
      </c>
      <c r="B58" s="50" t="s">
        <v>250</v>
      </c>
      <c r="C58" s="67" t="s">
        <v>251</v>
      </c>
      <c r="D58" s="24"/>
      <c r="E58" s="15"/>
    </row>
    <row r="59" spans="1:5" ht="18" customHeight="1">
      <c r="A59" s="55" t="s">
        <v>208</v>
      </c>
      <c r="B59" s="50" t="s">
        <v>252</v>
      </c>
      <c r="C59" s="67" t="s">
        <v>253</v>
      </c>
      <c r="D59" s="24"/>
      <c r="E59" s="15"/>
    </row>
    <row r="60" spans="1:5" ht="18" customHeight="1">
      <c r="A60" s="55" t="s">
        <v>208</v>
      </c>
      <c r="B60" s="50" t="s">
        <v>254</v>
      </c>
      <c r="C60" s="67" t="s">
        <v>255</v>
      </c>
      <c r="D60" s="24"/>
      <c r="E60" s="15"/>
    </row>
    <row r="61" spans="1:5" ht="18" customHeight="1">
      <c r="A61" s="55" t="s">
        <v>208</v>
      </c>
      <c r="B61" s="50" t="s">
        <v>256</v>
      </c>
      <c r="C61" s="67" t="s">
        <v>257</v>
      </c>
      <c r="D61" s="24"/>
      <c r="E61" s="15"/>
    </row>
    <row r="62" spans="1:5" ht="18" customHeight="1">
      <c r="A62" s="55" t="s">
        <v>208</v>
      </c>
      <c r="B62" s="50" t="s">
        <v>258</v>
      </c>
      <c r="C62" s="67" t="s">
        <v>259</v>
      </c>
      <c r="D62" s="24"/>
      <c r="E62" s="15"/>
    </row>
    <row r="63" spans="1:5" ht="18" customHeight="1">
      <c r="A63" s="55" t="s">
        <v>208</v>
      </c>
      <c r="B63" s="50" t="s">
        <v>260</v>
      </c>
      <c r="C63" s="67" t="s">
        <v>261</v>
      </c>
      <c r="D63" s="24"/>
      <c r="E63" s="15"/>
    </row>
    <row r="64" spans="1:5" ht="18" customHeight="1">
      <c r="A64" s="55" t="s">
        <v>208</v>
      </c>
      <c r="B64" s="50" t="s">
        <v>262</v>
      </c>
      <c r="C64" s="67" t="s">
        <v>263</v>
      </c>
      <c r="D64" s="24"/>
      <c r="E64" s="15"/>
    </row>
    <row r="65" spans="1:5" ht="18" customHeight="1">
      <c r="A65" s="55" t="s">
        <v>208</v>
      </c>
      <c r="B65" s="50" t="s">
        <v>265</v>
      </c>
      <c r="C65" s="67" t="s">
        <v>264</v>
      </c>
      <c r="D65" s="24"/>
      <c r="E65" s="15"/>
    </row>
    <row r="66" spans="1:5" ht="18" customHeight="1">
      <c r="A66" s="55" t="s">
        <v>208</v>
      </c>
      <c r="B66" s="53" t="s">
        <v>73</v>
      </c>
      <c r="C66" s="45" t="s">
        <v>266</v>
      </c>
      <c r="D66" s="24"/>
      <c r="E66" s="15"/>
    </row>
    <row r="67" spans="1:5" ht="18" customHeight="1">
      <c r="A67" s="55" t="s">
        <v>208</v>
      </c>
      <c r="B67" s="50" t="s">
        <v>267</v>
      </c>
      <c r="C67" s="67" t="s">
        <v>268</v>
      </c>
      <c r="D67" s="24"/>
      <c r="E67" s="15"/>
    </row>
    <row r="68" spans="1:5" ht="18" customHeight="1">
      <c r="A68" s="55" t="s">
        <v>208</v>
      </c>
      <c r="B68" s="54" t="s">
        <v>269</v>
      </c>
      <c r="C68" s="67" t="s">
        <v>270</v>
      </c>
      <c r="D68" s="24"/>
      <c r="E68" s="15"/>
    </row>
    <row r="69" spans="1:5" ht="18" customHeight="1">
      <c r="A69" s="55" t="s">
        <v>208</v>
      </c>
      <c r="B69" s="54" t="s">
        <v>271</v>
      </c>
      <c r="C69" s="67" t="s">
        <v>272</v>
      </c>
      <c r="D69" s="24"/>
      <c r="E69" s="15"/>
    </row>
    <row r="70" spans="1:5" ht="18" customHeight="1">
      <c r="A70" s="55" t="s">
        <v>208</v>
      </c>
      <c r="B70" s="54" t="s">
        <v>273</v>
      </c>
      <c r="C70" s="67" t="s">
        <v>274</v>
      </c>
      <c r="D70" s="24"/>
      <c r="E70" s="15"/>
    </row>
    <row r="71" spans="1:5" ht="18" customHeight="1">
      <c r="A71" s="55" t="s">
        <v>208</v>
      </c>
      <c r="B71" s="54" t="s">
        <v>275</v>
      </c>
      <c r="C71" s="67" t="s">
        <v>276</v>
      </c>
      <c r="D71" s="24"/>
      <c r="E71" s="15"/>
    </row>
    <row r="72" spans="1:5" ht="18" customHeight="1">
      <c r="A72" s="55" t="s">
        <v>208</v>
      </c>
      <c r="B72" s="50" t="s">
        <v>74</v>
      </c>
      <c r="C72" s="67" t="s">
        <v>277</v>
      </c>
      <c r="D72" s="24"/>
      <c r="E72" s="15"/>
    </row>
    <row r="73" spans="1:5" ht="18" customHeight="1">
      <c r="A73" s="55" t="s">
        <v>208</v>
      </c>
      <c r="B73" s="50" t="s">
        <v>75</v>
      </c>
      <c r="C73" s="67" t="s">
        <v>278</v>
      </c>
      <c r="D73" s="24"/>
      <c r="E73" s="15"/>
    </row>
    <row r="74" spans="1:5" ht="18" customHeight="1">
      <c r="A74" s="55"/>
      <c r="B74" s="39" t="s">
        <v>280</v>
      </c>
      <c r="C74" s="45" t="s">
        <v>279</v>
      </c>
      <c r="D74" s="24"/>
      <c r="E74" s="15"/>
    </row>
    <row r="75" spans="1:5" ht="18" customHeight="1">
      <c r="A75" s="55" t="s">
        <v>208</v>
      </c>
      <c r="B75" s="29" t="s">
        <v>76</v>
      </c>
      <c r="C75" s="67" t="s">
        <v>77</v>
      </c>
      <c r="D75" s="24"/>
      <c r="E75" s="15"/>
    </row>
    <row r="76" spans="1:5" ht="18" customHeight="1">
      <c r="A76" s="55" t="s">
        <v>208</v>
      </c>
      <c r="B76" s="42" t="s">
        <v>281</v>
      </c>
      <c r="C76" s="67" t="s">
        <v>282</v>
      </c>
      <c r="D76" s="24"/>
      <c r="E76" s="15"/>
    </row>
    <row r="77" spans="1:5" ht="48">
      <c r="A77" s="55" t="s">
        <v>208</v>
      </c>
      <c r="B77" s="42" t="s">
        <v>283</v>
      </c>
      <c r="C77" s="67" t="s">
        <v>284</v>
      </c>
      <c r="D77" s="24"/>
      <c r="E77" s="15"/>
    </row>
    <row r="78" spans="1:5" ht="18" customHeight="1">
      <c r="A78" s="55" t="s">
        <v>208</v>
      </c>
      <c r="B78" s="29" t="s">
        <v>78</v>
      </c>
      <c r="C78" s="67" t="s">
        <v>79</v>
      </c>
      <c r="D78" s="24"/>
      <c r="E78" s="15"/>
    </row>
    <row r="79" spans="1:5" ht="18" customHeight="1">
      <c r="A79" s="55" t="s">
        <v>208</v>
      </c>
      <c r="B79" s="54" t="s">
        <v>285</v>
      </c>
      <c r="C79" s="67" t="s">
        <v>286</v>
      </c>
      <c r="D79" s="24"/>
      <c r="E79" s="15"/>
    </row>
    <row r="80" spans="1:5" ht="48">
      <c r="A80" s="55" t="s">
        <v>208</v>
      </c>
      <c r="B80" s="54" t="s">
        <v>287</v>
      </c>
      <c r="C80" s="67" t="s">
        <v>288</v>
      </c>
      <c r="D80" s="24"/>
      <c r="E80" s="15"/>
    </row>
    <row r="81" spans="1:5" ht="18" customHeight="1">
      <c r="A81" s="55" t="s">
        <v>208</v>
      </c>
      <c r="B81" s="29" t="s">
        <v>80</v>
      </c>
      <c r="C81" s="67" t="s">
        <v>81</v>
      </c>
      <c r="D81" s="24"/>
      <c r="E81" s="15"/>
    </row>
    <row r="82" spans="1:5" ht="18" customHeight="1">
      <c r="A82" s="55" t="s">
        <v>208</v>
      </c>
      <c r="B82" s="29" t="s">
        <v>82</v>
      </c>
      <c r="C82" s="67" t="s">
        <v>83</v>
      </c>
      <c r="D82" s="24"/>
      <c r="E82" s="15"/>
    </row>
    <row r="83" spans="1:5" ht="18" customHeight="1">
      <c r="A83" s="55"/>
      <c r="B83" s="19" t="s">
        <v>290</v>
      </c>
      <c r="C83" s="45" t="s">
        <v>289</v>
      </c>
      <c r="D83" s="24"/>
      <c r="E83" s="15"/>
    </row>
    <row r="84" spans="1:5" ht="18" customHeight="1">
      <c r="A84" s="55" t="s">
        <v>208</v>
      </c>
      <c r="B84" s="29" t="s">
        <v>84</v>
      </c>
      <c r="C84" s="67" t="s">
        <v>85</v>
      </c>
      <c r="D84" s="24"/>
      <c r="E84" s="15"/>
    </row>
    <row r="85" spans="1:5" ht="18" customHeight="1">
      <c r="A85" s="55" t="s">
        <v>208</v>
      </c>
      <c r="B85" s="29" t="s">
        <v>86</v>
      </c>
      <c r="C85" s="67" t="s">
        <v>87</v>
      </c>
      <c r="D85" s="24"/>
      <c r="E85" s="15"/>
    </row>
    <row r="86" spans="1:5" ht="18" customHeight="1">
      <c r="A86" s="55" t="s">
        <v>208</v>
      </c>
      <c r="B86" s="29" t="s">
        <v>88</v>
      </c>
      <c r="C86" s="67" t="s">
        <v>89</v>
      </c>
      <c r="D86" s="24"/>
      <c r="E86" s="15"/>
    </row>
    <row r="87" spans="1:5" ht="18" customHeight="1">
      <c r="A87" s="55" t="s">
        <v>208</v>
      </c>
      <c r="B87" s="29" t="s">
        <v>90</v>
      </c>
      <c r="C87" s="67" t="s">
        <v>294</v>
      </c>
      <c r="D87" s="24"/>
      <c r="E87" s="15"/>
    </row>
    <row r="88" spans="1:5" ht="18" customHeight="1">
      <c r="A88" s="55" t="s">
        <v>208</v>
      </c>
      <c r="B88" s="54" t="s">
        <v>291</v>
      </c>
      <c r="C88" s="67" t="s">
        <v>295</v>
      </c>
      <c r="D88" s="28"/>
      <c r="E88" s="16"/>
    </row>
    <row r="89" spans="1:5" ht="18" customHeight="1">
      <c r="A89" s="55" t="s">
        <v>208</v>
      </c>
      <c r="B89" s="54" t="s">
        <v>292</v>
      </c>
      <c r="C89" s="67" t="s">
        <v>296</v>
      </c>
      <c r="D89" s="28"/>
      <c r="E89" s="16"/>
    </row>
    <row r="90" spans="1:5" ht="18" customHeight="1">
      <c r="A90" s="55" t="s">
        <v>208</v>
      </c>
      <c r="B90" s="54" t="s">
        <v>293</v>
      </c>
      <c r="C90" s="67" t="s">
        <v>297</v>
      </c>
      <c r="D90" s="28"/>
      <c r="E90" s="16"/>
    </row>
    <row r="91" spans="1:5" ht="18" customHeight="1" thickBot="1">
      <c r="A91" s="55" t="s">
        <v>208</v>
      </c>
      <c r="B91" s="30" t="s">
        <v>91</v>
      </c>
      <c r="C91" s="68" t="s">
        <v>92</v>
      </c>
      <c r="D91" s="25"/>
      <c r="E91" s="22"/>
    </row>
    <row r="92" spans="1:5" ht="18" customHeight="1" thickTop="1">
      <c r="A92" s="55"/>
      <c r="B92" s="19" t="s">
        <v>298</v>
      </c>
      <c r="C92" s="44" t="s">
        <v>299</v>
      </c>
      <c r="D92" s="31"/>
      <c r="E92" s="20"/>
    </row>
    <row r="93" spans="1:5" ht="18" customHeight="1">
      <c r="A93" s="55" t="s">
        <v>209</v>
      </c>
      <c r="B93" s="29" t="s">
        <v>93</v>
      </c>
      <c r="C93" s="67" t="s">
        <v>94</v>
      </c>
      <c r="D93" s="24"/>
      <c r="E93" s="15"/>
    </row>
    <row r="94" spans="1:5" ht="18" customHeight="1">
      <c r="A94" s="55" t="s">
        <v>209</v>
      </c>
      <c r="B94" s="29" t="s">
        <v>95</v>
      </c>
      <c r="C94" s="67" t="s">
        <v>96</v>
      </c>
      <c r="D94" s="24"/>
      <c r="E94" s="15"/>
    </row>
    <row r="95" spans="1:5" ht="18" customHeight="1">
      <c r="A95" s="55"/>
      <c r="B95" s="19" t="s">
        <v>300</v>
      </c>
      <c r="C95" s="45" t="s">
        <v>301</v>
      </c>
      <c r="D95" s="24"/>
      <c r="E95" s="15"/>
    </row>
    <row r="96" spans="1:5" ht="18" customHeight="1">
      <c r="A96" s="55" t="s">
        <v>209</v>
      </c>
      <c r="B96" s="29" t="s">
        <v>97</v>
      </c>
      <c r="C96" s="67" t="s">
        <v>98</v>
      </c>
      <c r="D96" s="24"/>
      <c r="E96" s="15"/>
    </row>
    <row r="97" spans="1:5" ht="18" customHeight="1">
      <c r="A97" s="55" t="s">
        <v>209</v>
      </c>
      <c r="B97" s="29" t="s">
        <v>99</v>
      </c>
      <c r="C97" s="67" t="s">
        <v>100</v>
      </c>
      <c r="D97" s="24"/>
      <c r="E97" s="15"/>
    </row>
    <row r="98" spans="1:5" ht="18" customHeight="1">
      <c r="A98" s="55" t="s">
        <v>209</v>
      </c>
      <c r="B98" s="29" t="s">
        <v>101</v>
      </c>
      <c r="C98" s="67" t="s">
        <v>102</v>
      </c>
      <c r="D98" s="24"/>
      <c r="E98" s="15"/>
    </row>
    <row r="99" spans="1:5" ht="18" customHeight="1">
      <c r="A99" s="55"/>
      <c r="B99" s="19" t="s">
        <v>307</v>
      </c>
      <c r="C99" s="45" t="s">
        <v>302</v>
      </c>
      <c r="D99" s="24"/>
      <c r="E99" s="15"/>
    </row>
    <row r="100" spans="1:5" ht="18" customHeight="1">
      <c r="A100" s="55" t="s">
        <v>209</v>
      </c>
      <c r="B100" s="29" t="s">
        <v>103</v>
      </c>
      <c r="C100" s="67" t="s">
        <v>104</v>
      </c>
      <c r="D100" s="24"/>
      <c r="E100" s="15"/>
    </row>
    <row r="101" spans="1:5" ht="18" customHeight="1">
      <c r="A101" s="55" t="s">
        <v>209</v>
      </c>
      <c r="B101" s="29" t="s">
        <v>105</v>
      </c>
      <c r="C101" s="67" t="s">
        <v>308</v>
      </c>
      <c r="D101" s="24"/>
      <c r="E101" s="15"/>
    </row>
    <row r="102" spans="1:5" ht="18" customHeight="1">
      <c r="A102" s="55" t="s">
        <v>209</v>
      </c>
      <c r="B102" s="54" t="s">
        <v>303</v>
      </c>
      <c r="C102" s="67" t="s">
        <v>309</v>
      </c>
      <c r="D102" s="24"/>
      <c r="E102" s="15"/>
    </row>
    <row r="103" spans="1:5" ht="18" customHeight="1">
      <c r="A103" s="55" t="s">
        <v>209</v>
      </c>
      <c r="B103" s="54" t="s">
        <v>304</v>
      </c>
      <c r="C103" s="67" t="s">
        <v>310</v>
      </c>
      <c r="D103" s="24"/>
      <c r="E103" s="15"/>
    </row>
    <row r="104" spans="1:5" ht="18" customHeight="1">
      <c r="A104" s="55" t="s">
        <v>209</v>
      </c>
      <c r="B104" s="54" t="s">
        <v>305</v>
      </c>
      <c r="C104" s="67" t="s">
        <v>311</v>
      </c>
      <c r="D104" s="24"/>
      <c r="E104" s="15"/>
    </row>
    <row r="105" spans="1:5" ht="18" customHeight="1">
      <c r="A105" s="55" t="s">
        <v>209</v>
      </c>
      <c r="B105" s="54" t="s">
        <v>306</v>
      </c>
      <c r="C105" s="67" t="s">
        <v>312</v>
      </c>
      <c r="D105" s="24"/>
      <c r="E105" s="15"/>
    </row>
    <row r="106" spans="1:5" ht="18" customHeight="1">
      <c r="A106" s="55" t="s">
        <v>209</v>
      </c>
      <c r="B106" s="29" t="s">
        <v>345</v>
      </c>
      <c r="C106" s="67" t="s">
        <v>344</v>
      </c>
      <c r="D106" s="24"/>
      <c r="E106" s="15"/>
    </row>
    <row r="107" spans="1:5" ht="18" customHeight="1">
      <c r="A107" s="55" t="s">
        <v>209</v>
      </c>
      <c r="B107" s="29" t="s">
        <v>106</v>
      </c>
      <c r="C107" s="67" t="s">
        <v>107</v>
      </c>
      <c r="D107" s="24"/>
      <c r="E107" s="15"/>
    </row>
    <row r="108" spans="1:5" ht="18" customHeight="1">
      <c r="A108" s="55" t="s">
        <v>209</v>
      </c>
      <c r="B108" s="29" t="s">
        <v>108</v>
      </c>
      <c r="C108" s="67" t="s">
        <v>109</v>
      </c>
      <c r="D108" s="24"/>
      <c r="E108" s="15"/>
    </row>
    <row r="109" spans="1:5" ht="18" customHeight="1" thickBot="1">
      <c r="A109" s="55" t="s">
        <v>209</v>
      </c>
      <c r="B109" s="30" t="s">
        <v>110</v>
      </c>
      <c r="C109" s="68" t="s">
        <v>111</v>
      </c>
      <c r="D109" s="25"/>
      <c r="E109" s="22"/>
    </row>
    <row r="110" spans="1:5" ht="18" customHeight="1" thickTop="1">
      <c r="A110" s="56"/>
      <c r="B110" s="26" t="s">
        <v>210</v>
      </c>
      <c r="C110" s="66"/>
      <c r="D110" s="23"/>
      <c r="E110" s="14"/>
    </row>
    <row r="111" spans="1:5" ht="18" customHeight="1" thickBot="1">
      <c r="A111" s="57" t="s">
        <v>210</v>
      </c>
      <c r="B111" s="27" t="s">
        <v>112</v>
      </c>
      <c r="C111" s="70" t="s">
        <v>113</v>
      </c>
      <c r="D111" s="28"/>
      <c r="E111" s="16"/>
    </row>
    <row r="112" spans="1:5" ht="18" customHeight="1" thickTop="1">
      <c r="A112" s="56"/>
      <c r="B112" s="26" t="s">
        <v>211</v>
      </c>
      <c r="C112" s="66"/>
      <c r="D112" s="23"/>
      <c r="E112" s="14"/>
    </row>
    <row r="113" spans="1:5" ht="18" customHeight="1">
      <c r="A113" s="55" t="s">
        <v>211</v>
      </c>
      <c r="B113" s="19" t="s">
        <v>114</v>
      </c>
      <c r="C113" s="45" t="s">
        <v>115</v>
      </c>
      <c r="D113" s="24"/>
      <c r="E113" s="15"/>
    </row>
    <row r="114" spans="1:5" ht="18" customHeight="1" thickBot="1">
      <c r="A114" s="55" t="s">
        <v>211</v>
      </c>
      <c r="B114" s="21" t="s">
        <v>116</v>
      </c>
      <c r="C114" s="71" t="s">
        <v>117</v>
      </c>
      <c r="D114" s="25"/>
      <c r="E114" s="22"/>
    </row>
    <row r="115" spans="1:5" ht="18" customHeight="1" thickTop="1">
      <c r="A115" s="56"/>
      <c r="B115" s="26" t="s">
        <v>212</v>
      </c>
      <c r="C115" s="66"/>
      <c r="D115" s="23"/>
      <c r="E115" s="14"/>
    </row>
    <row r="116" spans="1:5" ht="32">
      <c r="A116" s="55" t="s">
        <v>212</v>
      </c>
      <c r="B116" s="19" t="s">
        <v>313</v>
      </c>
      <c r="C116" s="44" t="s">
        <v>314</v>
      </c>
      <c r="D116" s="31"/>
      <c r="E116" s="20"/>
    </row>
    <row r="117" spans="1:5" ht="18" customHeight="1">
      <c r="A117" s="55" t="s">
        <v>212</v>
      </c>
      <c r="B117" s="29" t="s">
        <v>118</v>
      </c>
      <c r="C117" s="67" t="s">
        <v>119</v>
      </c>
      <c r="D117" s="24"/>
      <c r="E117" s="15"/>
    </row>
    <row r="118" spans="1:5" ht="18" customHeight="1">
      <c r="A118" s="55" t="s">
        <v>212</v>
      </c>
      <c r="B118" s="29" t="s">
        <v>120</v>
      </c>
      <c r="C118" s="67" t="s">
        <v>121</v>
      </c>
      <c r="D118" s="24"/>
      <c r="E118" s="15"/>
    </row>
    <row r="119" spans="1:5" ht="18" customHeight="1">
      <c r="A119" s="55" t="s">
        <v>212</v>
      </c>
      <c r="B119" s="29" t="s">
        <v>122</v>
      </c>
      <c r="C119" s="67" t="s">
        <v>123</v>
      </c>
      <c r="D119" s="24"/>
      <c r="E119" s="15"/>
    </row>
    <row r="120" spans="1:5" ht="18" customHeight="1">
      <c r="A120" s="55" t="s">
        <v>212</v>
      </c>
      <c r="B120" s="29" t="s">
        <v>124</v>
      </c>
      <c r="C120" s="67" t="s">
        <v>125</v>
      </c>
      <c r="D120" s="24"/>
      <c r="E120" s="15"/>
    </row>
    <row r="121" spans="1:5" ht="18" customHeight="1">
      <c r="A121" s="55" t="s">
        <v>212</v>
      </c>
      <c r="B121" s="29" t="s">
        <v>126</v>
      </c>
      <c r="C121" s="67" t="s">
        <v>127</v>
      </c>
      <c r="D121" s="24"/>
      <c r="E121" s="15"/>
    </row>
    <row r="122" spans="1:5" ht="18" customHeight="1">
      <c r="A122" s="55" t="s">
        <v>212</v>
      </c>
      <c r="B122" s="29" t="s">
        <v>128</v>
      </c>
      <c r="C122" s="67" t="s">
        <v>129</v>
      </c>
      <c r="D122" s="24"/>
      <c r="E122" s="15"/>
    </row>
    <row r="123" spans="1:5" ht="18" customHeight="1">
      <c r="A123" s="55" t="s">
        <v>212</v>
      </c>
      <c r="B123" s="29" t="s">
        <v>130</v>
      </c>
      <c r="C123" s="67" t="s">
        <v>131</v>
      </c>
      <c r="D123" s="24"/>
      <c r="E123" s="15"/>
    </row>
    <row r="124" spans="1:5" ht="48">
      <c r="A124" s="55" t="s">
        <v>212</v>
      </c>
      <c r="B124" s="19" t="s">
        <v>315</v>
      </c>
      <c r="C124" s="45" t="s">
        <v>316</v>
      </c>
      <c r="D124" s="24"/>
      <c r="E124" s="15"/>
    </row>
    <row r="125" spans="1:5" ht="18" customHeight="1">
      <c r="A125" s="55" t="s">
        <v>212</v>
      </c>
      <c r="B125" s="29" t="s">
        <v>132</v>
      </c>
      <c r="C125" s="67" t="s">
        <v>133</v>
      </c>
      <c r="D125" s="24"/>
      <c r="E125" s="15"/>
    </row>
    <row r="126" spans="1:5" ht="18" customHeight="1">
      <c r="A126" s="55" t="s">
        <v>212</v>
      </c>
      <c r="B126" s="29" t="s">
        <v>134</v>
      </c>
      <c r="C126" s="67" t="s">
        <v>135</v>
      </c>
      <c r="D126" s="24"/>
      <c r="E126" s="15"/>
    </row>
    <row r="127" spans="1:5" ht="18" customHeight="1">
      <c r="A127" s="55" t="s">
        <v>212</v>
      </c>
      <c r="B127" s="29" t="s">
        <v>136</v>
      </c>
      <c r="C127" s="67" t="s">
        <v>137</v>
      </c>
      <c r="D127" s="24"/>
      <c r="E127" s="15"/>
    </row>
    <row r="128" spans="1:5" ht="18" customHeight="1">
      <c r="A128" s="55" t="s">
        <v>212</v>
      </c>
      <c r="B128" s="29" t="s">
        <v>138</v>
      </c>
      <c r="C128" s="67" t="s">
        <v>139</v>
      </c>
      <c r="D128" s="24"/>
      <c r="E128" s="15"/>
    </row>
    <row r="129" spans="1:5" ht="18" customHeight="1">
      <c r="A129" s="55" t="s">
        <v>212</v>
      </c>
      <c r="B129" s="19" t="s">
        <v>346</v>
      </c>
      <c r="C129" s="45" t="s">
        <v>317</v>
      </c>
      <c r="D129" s="24"/>
      <c r="E129" s="15"/>
    </row>
    <row r="130" spans="1:5" ht="18" customHeight="1">
      <c r="A130" s="55" t="s">
        <v>212</v>
      </c>
      <c r="B130" s="29" t="s">
        <v>140</v>
      </c>
      <c r="C130" s="67" t="s">
        <v>141</v>
      </c>
      <c r="D130" s="24"/>
      <c r="E130" s="15"/>
    </row>
    <row r="131" spans="1:5" ht="18" customHeight="1">
      <c r="A131" s="55" t="s">
        <v>212</v>
      </c>
      <c r="B131" s="29" t="s">
        <v>142</v>
      </c>
      <c r="C131" s="67" t="s">
        <v>143</v>
      </c>
      <c r="D131" s="24"/>
      <c r="E131" s="15"/>
    </row>
    <row r="132" spans="1:5" ht="18" customHeight="1">
      <c r="A132" s="55" t="s">
        <v>212</v>
      </c>
      <c r="B132" s="19" t="s">
        <v>319</v>
      </c>
      <c r="C132" s="45" t="s">
        <v>318</v>
      </c>
      <c r="D132" s="24"/>
      <c r="E132" s="15"/>
    </row>
    <row r="133" spans="1:5" ht="18" customHeight="1">
      <c r="A133" s="55" t="s">
        <v>212</v>
      </c>
      <c r="B133" s="29" t="s">
        <v>144</v>
      </c>
      <c r="C133" s="67" t="s">
        <v>145</v>
      </c>
      <c r="D133" s="24"/>
      <c r="E133" s="15"/>
    </row>
    <row r="134" spans="1:5" ht="18" customHeight="1">
      <c r="A134" s="55" t="s">
        <v>212</v>
      </c>
      <c r="B134" s="54" t="s">
        <v>320</v>
      </c>
      <c r="C134" s="67" t="s">
        <v>321</v>
      </c>
      <c r="D134" s="24"/>
      <c r="E134" s="15"/>
    </row>
    <row r="135" spans="1:5" ht="18" customHeight="1">
      <c r="A135" s="55" t="s">
        <v>212</v>
      </c>
      <c r="B135" s="54" t="s">
        <v>322</v>
      </c>
      <c r="C135" s="67" t="s">
        <v>323</v>
      </c>
      <c r="D135" s="24"/>
      <c r="E135" s="15"/>
    </row>
    <row r="136" spans="1:5" ht="18" customHeight="1">
      <c r="A136" s="55" t="s">
        <v>212</v>
      </c>
      <c r="B136" s="54" t="s">
        <v>324</v>
      </c>
      <c r="C136" s="67" t="s">
        <v>325</v>
      </c>
      <c r="D136" s="24"/>
      <c r="E136" s="15"/>
    </row>
    <row r="137" spans="1:5" ht="18" customHeight="1">
      <c r="A137" s="55" t="s">
        <v>212</v>
      </c>
      <c r="B137" s="54" t="s">
        <v>326</v>
      </c>
      <c r="C137" s="67" t="s">
        <v>327</v>
      </c>
      <c r="D137" s="24"/>
      <c r="E137" s="15"/>
    </row>
    <row r="138" spans="1:5" ht="18" customHeight="1">
      <c r="A138" s="55" t="s">
        <v>212</v>
      </c>
      <c r="B138" s="54" t="s">
        <v>328</v>
      </c>
      <c r="C138" s="67" t="s">
        <v>329</v>
      </c>
      <c r="D138" s="24"/>
      <c r="E138" s="15"/>
    </row>
    <row r="139" spans="1:5" ht="18" customHeight="1">
      <c r="A139" s="55" t="s">
        <v>212</v>
      </c>
      <c r="B139" s="29" t="s">
        <v>146</v>
      </c>
      <c r="C139" s="67" t="s">
        <v>147</v>
      </c>
      <c r="D139" s="24"/>
      <c r="E139" s="15"/>
    </row>
    <row r="140" spans="1:5" ht="18" customHeight="1">
      <c r="A140" s="55" t="s">
        <v>212</v>
      </c>
      <c r="B140" s="42" t="s">
        <v>332</v>
      </c>
      <c r="C140" s="67" t="s">
        <v>331</v>
      </c>
      <c r="D140" s="24"/>
      <c r="E140" s="15"/>
    </row>
    <row r="141" spans="1:5" ht="18" customHeight="1">
      <c r="A141" s="55" t="s">
        <v>212</v>
      </c>
      <c r="B141" s="42" t="s">
        <v>333</v>
      </c>
      <c r="C141" s="67" t="s">
        <v>330</v>
      </c>
      <c r="D141" s="24"/>
      <c r="E141" s="15"/>
    </row>
    <row r="142" spans="1:5" ht="18" customHeight="1">
      <c r="A142" s="55" t="s">
        <v>212</v>
      </c>
      <c r="B142" s="29" t="s">
        <v>148</v>
      </c>
      <c r="C142" s="67" t="s">
        <v>149</v>
      </c>
      <c r="D142" s="24"/>
      <c r="E142" s="15"/>
    </row>
    <row r="143" spans="1:5" ht="18" customHeight="1">
      <c r="A143" s="55" t="s">
        <v>212</v>
      </c>
      <c r="B143" s="29" t="s">
        <v>150</v>
      </c>
      <c r="C143" s="67" t="s">
        <v>151</v>
      </c>
      <c r="D143" s="24"/>
      <c r="E143" s="15"/>
    </row>
    <row r="144" spans="1:5" ht="32">
      <c r="A144" s="55" t="s">
        <v>212</v>
      </c>
      <c r="B144" s="32" t="s">
        <v>335</v>
      </c>
      <c r="C144" s="45" t="s">
        <v>334</v>
      </c>
      <c r="D144" s="24"/>
      <c r="E144" s="15"/>
    </row>
    <row r="145" spans="1:5" ht="18" customHeight="1">
      <c r="A145" s="55" t="s">
        <v>212</v>
      </c>
      <c r="B145" s="29" t="s">
        <v>152</v>
      </c>
      <c r="C145" s="67" t="s">
        <v>153</v>
      </c>
      <c r="D145" s="24"/>
      <c r="E145" s="15"/>
    </row>
    <row r="146" spans="1:5" ht="18" customHeight="1">
      <c r="A146" s="55" t="s">
        <v>212</v>
      </c>
      <c r="B146" s="42" t="s">
        <v>154</v>
      </c>
      <c r="C146" s="67" t="s">
        <v>155</v>
      </c>
      <c r="D146" s="24"/>
      <c r="E146" s="15"/>
    </row>
    <row r="147" spans="1:5" ht="18" customHeight="1">
      <c r="A147" s="55" t="s">
        <v>212</v>
      </c>
      <c r="B147" s="42" t="s">
        <v>156</v>
      </c>
      <c r="C147" s="67" t="s">
        <v>157</v>
      </c>
      <c r="D147" s="24"/>
      <c r="E147" s="15"/>
    </row>
    <row r="148" spans="1:5" ht="18" customHeight="1">
      <c r="A148" s="55" t="s">
        <v>212</v>
      </c>
      <c r="B148" s="42" t="s">
        <v>158</v>
      </c>
      <c r="C148" s="67" t="s">
        <v>159</v>
      </c>
      <c r="D148" s="24"/>
      <c r="E148" s="15"/>
    </row>
    <row r="149" spans="1:5" ht="18" customHeight="1">
      <c r="A149" s="55" t="s">
        <v>212</v>
      </c>
      <c r="B149" s="42" t="s">
        <v>160</v>
      </c>
      <c r="C149" s="67" t="s">
        <v>161</v>
      </c>
      <c r="D149" s="24"/>
      <c r="E149" s="15"/>
    </row>
    <row r="150" spans="1:5" ht="18" customHeight="1">
      <c r="A150" s="55" t="s">
        <v>212</v>
      </c>
      <c r="B150" s="42" t="s">
        <v>162</v>
      </c>
      <c r="C150" s="67" t="s">
        <v>163</v>
      </c>
      <c r="D150" s="24"/>
      <c r="E150" s="15"/>
    </row>
    <row r="151" spans="1:5" ht="18" customHeight="1">
      <c r="A151" s="55" t="s">
        <v>212</v>
      </c>
      <c r="B151" s="29" t="s">
        <v>164</v>
      </c>
      <c r="C151" s="67" t="s">
        <v>165</v>
      </c>
      <c r="D151" s="24"/>
      <c r="E151" s="15"/>
    </row>
    <row r="152" spans="1:5" ht="18" customHeight="1">
      <c r="A152" s="55" t="s">
        <v>212</v>
      </c>
      <c r="B152" s="42" t="s">
        <v>166</v>
      </c>
      <c r="C152" s="67" t="s">
        <v>167</v>
      </c>
      <c r="D152" s="24"/>
      <c r="E152" s="15"/>
    </row>
    <row r="153" spans="1:5" ht="18" customHeight="1">
      <c r="A153" s="55" t="s">
        <v>212</v>
      </c>
      <c r="B153" s="42" t="s">
        <v>168</v>
      </c>
      <c r="C153" s="67" t="s">
        <v>169</v>
      </c>
      <c r="D153" s="24"/>
      <c r="E153" s="15"/>
    </row>
    <row r="154" spans="1:5" ht="18" customHeight="1">
      <c r="A154" s="55" t="s">
        <v>212</v>
      </c>
      <c r="B154" s="42" t="s">
        <v>170</v>
      </c>
      <c r="C154" s="67" t="s">
        <v>171</v>
      </c>
      <c r="D154" s="24"/>
      <c r="E154" s="15"/>
    </row>
    <row r="155" spans="1:5" ht="18" customHeight="1">
      <c r="A155" s="55" t="s">
        <v>212</v>
      </c>
      <c r="B155" s="42" t="s">
        <v>172</v>
      </c>
      <c r="C155" s="67" t="s">
        <v>173</v>
      </c>
      <c r="D155" s="24"/>
      <c r="E155" s="15"/>
    </row>
    <row r="156" spans="1:5" ht="18" customHeight="1">
      <c r="A156" s="55" t="s">
        <v>212</v>
      </c>
      <c r="B156" s="42" t="s">
        <v>174</v>
      </c>
      <c r="C156" s="67" t="s">
        <v>175</v>
      </c>
      <c r="D156" s="24"/>
      <c r="E156" s="15"/>
    </row>
    <row r="157" spans="1:5" ht="18" customHeight="1">
      <c r="A157" s="55" t="s">
        <v>212</v>
      </c>
      <c r="B157" s="42" t="s">
        <v>176</v>
      </c>
      <c r="C157" s="67" t="s">
        <v>177</v>
      </c>
      <c r="D157" s="24"/>
      <c r="E157" s="15"/>
    </row>
    <row r="158" spans="1:5" ht="18" customHeight="1">
      <c r="A158" s="55" t="s">
        <v>212</v>
      </c>
      <c r="B158" s="19" t="s">
        <v>336</v>
      </c>
      <c r="C158" s="45" t="s">
        <v>337</v>
      </c>
      <c r="D158" s="24"/>
      <c r="E158" s="15"/>
    </row>
    <row r="159" spans="1:5" ht="18" customHeight="1">
      <c r="A159" s="55" t="s">
        <v>212</v>
      </c>
      <c r="B159" s="29" t="s">
        <v>178</v>
      </c>
      <c r="C159" s="67" t="s">
        <v>179</v>
      </c>
      <c r="D159" s="24"/>
      <c r="E159" s="15"/>
    </row>
    <row r="160" spans="1:5" ht="18" customHeight="1">
      <c r="A160" s="55" t="s">
        <v>212</v>
      </c>
      <c r="B160" s="29" t="s">
        <v>180</v>
      </c>
      <c r="C160" s="67" t="s">
        <v>181</v>
      </c>
      <c r="D160" s="24"/>
      <c r="E160" s="15"/>
    </row>
    <row r="161" spans="1:5" ht="18" customHeight="1">
      <c r="A161" s="55" t="s">
        <v>212</v>
      </c>
      <c r="B161" s="29" t="s">
        <v>182</v>
      </c>
      <c r="C161" s="67" t="s">
        <v>183</v>
      </c>
      <c r="D161" s="24"/>
      <c r="E161" s="15"/>
    </row>
    <row r="162" spans="1:5" ht="18" customHeight="1">
      <c r="A162" s="55" t="s">
        <v>212</v>
      </c>
      <c r="B162" s="19" t="s">
        <v>339</v>
      </c>
      <c r="C162" s="45" t="s">
        <v>338</v>
      </c>
      <c r="D162" s="24"/>
      <c r="E162" s="15"/>
    </row>
    <row r="163" spans="1:5" ht="18" customHeight="1">
      <c r="A163" s="55" t="s">
        <v>212</v>
      </c>
      <c r="B163" s="29" t="s">
        <v>184</v>
      </c>
      <c r="C163" s="67" t="s">
        <v>185</v>
      </c>
      <c r="D163" s="24"/>
      <c r="E163" s="15"/>
    </row>
    <row r="164" spans="1:5" ht="18" customHeight="1">
      <c r="A164" s="55" t="s">
        <v>212</v>
      </c>
      <c r="B164" s="29" t="s">
        <v>186</v>
      </c>
      <c r="C164" s="67" t="s">
        <v>187</v>
      </c>
      <c r="D164" s="24"/>
      <c r="E164" s="15"/>
    </row>
    <row r="165" spans="1:5" ht="18" customHeight="1">
      <c r="A165" s="55" t="s">
        <v>212</v>
      </c>
      <c r="B165" s="29" t="s">
        <v>188</v>
      </c>
      <c r="C165" s="67" t="s">
        <v>189</v>
      </c>
      <c r="D165" s="24"/>
      <c r="E165" s="15"/>
    </row>
    <row r="166" spans="1:5" ht="18" customHeight="1">
      <c r="A166" s="55" t="s">
        <v>212</v>
      </c>
      <c r="B166" s="29" t="s">
        <v>190</v>
      </c>
      <c r="C166" s="67" t="s">
        <v>191</v>
      </c>
      <c r="D166" s="24"/>
      <c r="E166" s="15"/>
    </row>
    <row r="167" spans="1:5" ht="32">
      <c r="A167" s="55" t="s">
        <v>212</v>
      </c>
      <c r="B167" s="19" t="s">
        <v>340</v>
      </c>
      <c r="C167" s="45" t="s">
        <v>341</v>
      </c>
      <c r="D167" s="24"/>
      <c r="E167" s="15"/>
    </row>
    <row r="168" spans="1:5" ht="18" customHeight="1">
      <c r="A168" s="55" t="s">
        <v>212</v>
      </c>
      <c r="B168" s="29" t="s">
        <v>192</v>
      </c>
      <c r="C168" s="67" t="s">
        <v>193</v>
      </c>
      <c r="D168" s="24"/>
      <c r="E168" s="15"/>
    </row>
    <row r="169" spans="1:5" ht="18" customHeight="1">
      <c r="A169" s="55" t="s">
        <v>212</v>
      </c>
      <c r="B169" s="29" t="s">
        <v>194</v>
      </c>
      <c r="C169" s="67" t="s">
        <v>195</v>
      </c>
      <c r="D169" s="24"/>
      <c r="E169" s="15"/>
    </row>
    <row r="170" spans="1:5" ht="32">
      <c r="A170" s="55" t="s">
        <v>212</v>
      </c>
      <c r="B170" s="19" t="s">
        <v>343</v>
      </c>
      <c r="C170" s="45" t="s">
        <v>342</v>
      </c>
      <c r="D170" s="24"/>
      <c r="E170" s="15"/>
    </row>
    <row r="171" spans="1:5" ht="18" customHeight="1">
      <c r="A171" s="55" t="s">
        <v>212</v>
      </c>
      <c r="B171" s="29" t="s">
        <v>196</v>
      </c>
      <c r="C171" s="67" t="s">
        <v>197</v>
      </c>
      <c r="D171" s="24"/>
      <c r="E171" s="15"/>
    </row>
    <row r="172" spans="1:5" ht="18" customHeight="1" thickBot="1">
      <c r="A172" s="55" t="s">
        <v>212</v>
      </c>
      <c r="B172" s="30" t="s">
        <v>198</v>
      </c>
      <c r="C172" s="68" t="s">
        <v>199</v>
      </c>
      <c r="D172" s="25"/>
      <c r="E172" s="22"/>
    </row>
    <row r="173" spans="1:5" ht="15" thickTop="1"/>
  </sheetData>
  <mergeCells count="1">
    <mergeCell ref="A1:C5"/>
  </mergeCells>
  <conditionalFormatting sqref="D1:D2 D4:D1048576">
    <cfRule type="containsText" dxfId="5" priority="1" operator="containsText" text="Exceeds">
      <formula>NOT(ISERROR(SEARCH("Exceeds",D1)))</formula>
    </cfRule>
    <cfRule type="containsText" dxfId="4" priority="2" operator="containsText" text="Meets">
      <formula>NOT(ISERROR(SEARCH("Meets",D1)))</formula>
    </cfRule>
    <cfRule type="containsText" dxfId="3" priority="3" operator="containsText" text="Lacks">
      <formula>NOT(ISERROR(SEARCH("Lacks",D1)))</formula>
    </cfRule>
  </conditionalFormatting>
  <dataValidations count="1">
    <dataValidation type="list" allowBlank="1" showInputMessage="1" showErrorMessage="1" sqref="D8:D172" xr:uid="{AAFFEEE2-B25F-4805-89AF-44470E3FB966}">
      <formula1>$L$9:$L$11</formula1>
    </dataValidation>
  </dataValidations>
  <pageMargins left="0.7" right="0.7" top="0.75" bottom="0.75" header="0.3" footer="0.3"/>
  <pageSetup orientation="portrait" r:id="rId1"/>
  <ignoredErrors>
    <ignoredError sqref="B111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AB34-AEDE-4828-83D1-825C8867627B}">
  <dimension ref="A1:L179"/>
  <sheetViews>
    <sheetView tabSelected="1" topLeftCell="A137" zoomScaleNormal="100" workbookViewId="0">
      <selection activeCell="C159" sqref="C159"/>
    </sheetView>
  </sheetViews>
  <sheetFormatPr defaultRowHeight="14.5"/>
  <cols>
    <col min="1" max="1" width="26.26953125" bestFit="1" customWidth="1"/>
    <col min="2" max="2" width="26.7265625" bestFit="1" customWidth="1"/>
    <col min="3" max="3" width="199.26953125" customWidth="1"/>
    <col min="4" max="4" width="13.7265625" customWidth="1"/>
    <col min="5" max="5" width="52.54296875" customWidth="1"/>
    <col min="6" max="6" width="45.1796875" customWidth="1"/>
    <col min="7" max="7" width="10.1796875" customWidth="1"/>
    <col min="8" max="8" width="147.6328125" style="1" bestFit="1" customWidth="1"/>
    <col min="9" max="9" width="7.453125" customWidth="1"/>
    <col min="10" max="10" width="13.7265625" customWidth="1"/>
    <col min="11" max="11" width="46.08984375" customWidth="1"/>
    <col min="12" max="12" width="42" customWidth="1"/>
    <col min="16" max="16" width="46.453125" customWidth="1"/>
  </cols>
  <sheetData>
    <row r="1" spans="1:12" ht="14.75" customHeight="1">
      <c r="A1" s="84" t="s">
        <v>200</v>
      </c>
      <c r="B1" s="85"/>
      <c r="C1" s="86"/>
      <c r="D1" s="12"/>
      <c r="E1" s="12"/>
    </row>
    <row r="2" spans="1:12" ht="14.75" customHeight="1">
      <c r="A2" s="87"/>
      <c r="B2" s="88"/>
      <c r="C2" s="89"/>
      <c r="D2" s="12"/>
      <c r="E2" s="12"/>
    </row>
    <row r="3" spans="1:12" ht="14.75" customHeight="1">
      <c r="A3" s="87"/>
      <c r="B3" s="88"/>
      <c r="C3" s="89"/>
      <c r="D3" s="12"/>
      <c r="E3" s="12"/>
    </row>
    <row r="4" spans="1:12" ht="14.75" customHeight="1">
      <c r="A4" s="87"/>
      <c r="B4" s="88"/>
      <c r="C4" s="89"/>
      <c r="D4" s="12"/>
      <c r="E4" s="12"/>
    </row>
    <row r="5" spans="1:12" ht="15" customHeight="1" thickBot="1">
      <c r="A5" s="90"/>
      <c r="B5" s="91"/>
      <c r="C5" s="92"/>
      <c r="D5" s="12"/>
      <c r="E5" s="12"/>
      <c r="F5" s="2"/>
      <c r="G5" s="2"/>
      <c r="H5" s="10"/>
      <c r="I5" s="2"/>
      <c r="J5" s="2"/>
    </row>
    <row r="6" spans="1:12" ht="15" customHeight="1">
      <c r="A6" s="60" t="s">
        <v>350</v>
      </c>
      <c r="B6" s="62"/>
      <c r="C6" s="17"/>
      <c r="D6" s="12"/>
      <c r="E6" s="12"/>
      <c r="F6" s="2"/>
      <c r="G6" s="2"/>
      <c r="H6" s="10"/>
      <c r="I6" s="2"/>
      <c r="J6" s="2"/>
    </row>
    <row r="7" spans="1:12" ht="15" customHeight="1">
      <c r="A7" s="61" t="s">
        <v>351</v>
      </c>
      <c r="B7" s="63"/>
      <c r="C7" s="17"/>
      <c r="D7" s="12"/>
      <c r="E7" s="12"/>
      <c r="F7" s="2"/>
      <c r="G7" s="2"/>
      <c r="H7" s="10"/>
      <c r="I7" s="2"/>
      <c r="J7" s="2"/>
    </row>
    <row r="8" spans="1:12" ht="15" customHeight="1">
      <c r="A8" s="61" t="s">
        <v>349</v>
      </c>
      <c r="B8" s="63"/>
      <c r="C8" s="17"/>
      <c r="D8" s="12"/>
      <c r="E8" s="12"/>
      <c r="F8" s="2"/>
      <c r="G8" s="2"/>
      <c r="H8" s="10"/>
      <c r="I8" s="2"/>
      <c r="J8" s="2"/>
    </row>
    <row r="9" spans="1:12" ht="15" customHeight="1">
      <c r="A9" s="61" t="s">
        <v>352</v>
      </c>
      <c r="B9" s="63"/>
      <c r="C9" s="17"/>
      <c r="D9" s="12"/>
      <c r="E9" s="12"/>
      <c r="F9" s="2"/>
      <c r="G9" s="2"/>
      <c r="H9" s="10"/>
      <c r="I9" s="2"/>
      <c r="J9" s="2"/>
    </row>
    <row r="10" spans="1:12" ht="15" customHeight="1">
      <c r="A10" s="61" t="s">
        <v>353</v>
      </c>
      <c r="B10" s="63"/>
      <c r="C10" s="17"/>
      <c r="D10" s="12"/>
      <c r="E10" s="12"/>
      <c r="F10" s="2"/>
      <c r="G10" s="2"/>
      <c r="H10" s="10"/>
      <c r="I10" s="2"/>
      <c r="J10" s="2"/>
    </row>
    <row r="11" spans="1:12" ht="15" customHeight="1" thickBot="1">
      <c r="A11" s="59"/>
      <c r="B11" s="58"/>
      <c r="C11" s="17"/>
      <c r="D11" s="12"/>
      <c r="E11" s="12"/>
      <c r="F11" s="2"/>
      <c r="G11" s="2"/>
      <c r="H11" s="10"/>
      <c r="I11" s="2"/>
      <c r="J11" s="2"/>
    </row>
    <row r="12" spans="1:12" ht="15" customHeight="1">
      <c r="A12" s="17"/>
      <c r="B12" s="17"/>
      <c r="C12" s="17"/>
      <c r="D12" s="12"/>
      <c r="E12" s="12"/>
      <c r="F12" s="2"/>
      <c r="G12" s="2"/>
      <c r="H12" s="10"/>
      <c r="I12" s="2"/>
      <c r="J12" s="2"/>
    </row>
    <row r="13" spans="1:12" ht="21.5" thickBot="1">
      <c r="A13" s="3" t="s">
        <v>347</v>
      </c>
      <c r="B13" s="13" t="s">
        <v>2</v>
      </c>
      <c r="C13" s="3" t="s">
        <v>3</v>
      </c>
      <c r="D13" s="3" t="s">
        <v>11</v>
      </c>
      <c r="E13" s="3" t="s">
        <v>12</v>
      </c>
      <c r="F13" s="2"/>
      <c r="G13" s="2"/>
      <c r="H13" s="10"/>
      <c r="I13" s="2"/>
      <c r="J13" s="2"/>
    </row>
    <row r="14" spans="1:12" ht="18" customHeight="1" thickTop="1">
      <c r="A14" s="55" t="s">
        <v>348</v>
      </c>
      <c r="B14" s="18" t="s">
        <v>13</v>
      </c>
      <c r="C14" s="33" t="s">
        <v>14</v>
      </c>
      <c r="D14" s="23"/>
      <c r="E14" s="14"/>
      <c r="G14" s="9"/>
      <c r="H14"/>
    </row>
    <row r="15" spans="1:12" ht="18" customHeight="1">
      <c r="A15" s="55" t="s">
        <v>348</v>
      </c>
      <c r="B15" s="19" t="s">
        <v>213</v>
      </c>
      <c r="C15" s="34" t="s">
        <v>214</v>
      </c>
      <c r="D15" s="24"/>
      <c r="E15" s="15"/>
      <c r="G15" s="9"/>
      <c r="H15"/>
      <c r="L15" s="8" t="s">
        <v>4</v>
      </c>
    </row>
    <row r="16" spans="1:12" ht="18" customHeight="1">
      <c r="A16" s="55" t="s">
        <v>348</v>
      </c>
      <c r="B16" s="29" t="s">
        <v>15</v>
      </c>
      <c r="C16" s="35" t="s">
        <v>16</v>
      </c>
      <c r="D16" s="24"/>
      <c r="E16" s="15"/>
      <c r="G16" s="9"/>
      <c r="H16"/>
      <c r="L16" s="8" t="s">
        <v>5</v>
      </c>
    </row>
    <row r="17" spans="1:12" ht="18" customHeight="1">
      <c r="A17" s="55" t="s">
        <v>348</v>
      </c>
      <c r="B17" s="29" t="s">
        <v>17</v>
      </c>
      <c r="C17" s="35" t="s">
        <v>18</v>
      </c>
      <c r="D17" s="24"/>
      <c r="E17" s="15"/>
      <c r="G17" s="9"/>
      <c r="H17"/>
      <c r="L17" s="8" t="s">
        <v>6</v>
      </c>
    </row>
    <row r="18" spans="1:12" ht="18" customHeight="1">
      <c r="A18" s="55" t="s">
        <v>348</v>
      </c>
      <c r="B18" s="29" t="s">
        <v>19</v>
      </c>
      <c r="C18" s="35" t="s">
        <v>20</v>
      </c>
      <c r="D18" s="24"/>
      <c r="E18" s="15"/>
      <c r="G18" s="9"/>
      <c r="H18"/>
    </row>
    <row r="19" spans="1:12" ht="18" customHeight="1">
      <c r="A19" s="55" t="s">
        <v>348</v>
      </c>
      <c r="B19" s="29" t="s">
        <v>21</v>
      </c>
      <c r="C19" s="35" t="s">
        <v>22</v>
      </c>
      <c r="D19" s="24"/>
      <c r="E19" s="15"/>
      <c r="G19" s="9"/>
      <c r="H19"/>
    </row>
    <row r="20" spans="1:12" ht="18" customHeight="1">
      <c r="A20" s="55" t="s">
        <v>348</v>
      </c>
      <c r="B20" s="29" t="s">
        <v>23</v>
      </c>
      <c r="C20" s="35" t="s">
        <v>24</v>
      </c>
      <c r="D20" s="24"/>
      <c r="E20" s="15"/>
      <c r="G20" s="9"/>
      <c r="H20"/>
    </row>
    <row r="21" spans="1:12" ht="18" customHeight="1">
      <c r="A21" s="55" t="s">
        <v>348</v>
      </c>
      <c r="B21" s="29" t="s">
        <v>25</v>
      </c>
      <c r="C21" s="35" t="s">
        <v>26</v>
      </c>
      <c r="D21" s="24"/>
      <c r="E21" s="15"/>
      <c r="G21" s="9"/>
      <c r="H21"/>
    </row>
    <row r="22" spans="1:12" ht="18" customHeight="1" thickBot="1">
      <c r="A22" s="55" t="s">
        <v>348</v>
      </c>
      <c r="B22" s="30" t="s">
        <v>27</v>
      </c>
      <c r="C22" s="36" t="s">
        <v>28</v>
      </c>
      <c r="D22" s="25"/>
      <c r="E22" s="22"/>
    </row>
    <row r="23" spans="1:12" ht="18" customHeight="1" thickTop="1">
      <c r="A23" s="55" t="s">
        <v>207</v>
      </c>
      <c r="B23" s="19" t="s">
        <v>29</v>
      </c>
      <c r="C23" s="37" t="s">
        <v>30</v>
      </c>
      <c r="D23" s="24"/>
      <c r="E23" s="15"/>
    </row>
    <row r="24" spans="1:12" ht="18" customHeight="1">
      <c r="A24" s="55" t="s">
        <v>207</v>
      </c>
      <c r="B24" s="19" t="s">
        <v>31</v>
      </c>
      <c r="C24" s="37" t="s">
        <v>32</v>
      </c>
      <c r="D24" s="24"/>
      <c r="E24" s="15"/>
    </row>
    <row r="25" spans="1:12" ht="18" customHeight="1">
      <c r="A25" s="55" t="s">
        <v>207</v>
      </c>
      <c r="B25" s="19" t="s">
        <v>33</v>
      </c>
      <c r="C25" s="37" t="s">
        <v>34</v>
      </c>
      <c r="D25" s="24"/>
      <c r="E25" s="15"/>
    </row>
    <row r="26" spans="1:12" ht="18" customHeight="1">
      <c r="A26" s="55" t="s">
        <v>207</v>
      </c>
      <c r="B26" s="19" t="s">
        <v>215</v>
      </c>
      <c r="C26" s="37" t="s">
        <v>216</v>
      </c>
      <c r="D26" s="24"/>
      <c r="E26" s="15"/>
    </row>
    <row r="27" spans="1:12" ht="18" customHeight="1">
      <c r="A27" s="55" t="s">
        <v>207</v>
      </c>
      <c r="B27" s="29" t="s">
        <v>35</v>
      </c>
      <c r="C27" s="35" t="s">
        <v>36</v>
      </c>
      <c r="D27" s="24"/>
      <c r="E27" s="15"/>
    </row>
    <row r="28" spans="1:12" ht="18" customHeight="1">
      <c r="A28" s="55" t="s">
        <v>207</v>
      </c>
      <c r="B28" s="29" t="s">
        <v>37</v>
      </c>
      <c r="C28" s="35" t="s">
        <v>38</v>
      </c>
      <c r="D28" s="24"/>
      <c r="E28" s="15"/>
    </row>
    <row r="29" spans="1:12" ht="18" customHeight="1">
      <c r="A29" s="55" t="s">
        <v>207</v>
      </c>
      <c r="B29" s="29" t="s">
        <v>39</v>
      </c>
      <c r="C29" s="35" t="s">
        <v>40</v>
      </c>
      <c r="D29" s="24"/>
      <c r="E29" s="15"/>
    </row>
    <row r="30" spans="1:12" ht="18" customHeight="1">
      <c r="A30" s="55" t="s">
        <v>207</v>
      </c>
      <c r="B30" s="29" t="s">
        <v>41</v>
      </c>
      <c r="C30" s="35" t="s">
        <v>42</v>
      </c>
      <c r="D30" s="24"/>
      <c r="E30" s="15"/>
    </row>
    <row r="31" spans="1:12" ht="18" customHeight="1">
      <c r="A31" s="55" t="s">
        <v>207</v>
      </c>
      <c r="B31" s="29" t="s">
        <v>43</v>
      </c>
      <c r="C31" s="35" t="s">
        <v>44</v>
      </c>
      <c r="D31" s="24"/>
      <c r="E31" s="15"/>
    </row>
    <row r="32" spans="1:12" ht="18" customHeight="1">
      <c r="A32" s="55" t="s">
        <v>207</v>
      </c>
      <c r="B32" s="29" t="s">
        <v>45</v>
      </c>
      <c r="C32" s="35" t="s">
        <v>46</v>
      </c>
      <c r="D32" s="24"/>
      <c r="E32" s="15"/>
    </row>
    <row r="33" spans="1:5" ht="18" customHeight="1">
      <c r="A33" s="55" t="s">
        <v>207</v>
      </c>
      <c r="B33" s="29" t="s">
        <v>47</v>
      </c>
      <c r="C33" s="35" t="s">
        <v>48</v>
      </c>
      <c r="D33" s="24"/>
      <c r="E33" s="15"/>
    </row>
    <row r="34" spans="1:5" ht="18" customHeight="1">
      <c r="A34" s="55" t="s">
        <v>207</v>
      </c>
      <c r="B34" s="29" t="s">
        <v>49</v>
      </c>
      <c r="C34" s="35" t="s">
        <v>50</v>
      </c>
      <c r="D34" s="24"/>
      <c r="E34" s="15"/>
    </row>
    <row r="35" spans="1:5" ht="18" customHeight="1">
      <c r="A35" s="55" t="s">
        <v>207</v>
      </c>
      <c r="B35" s="29" t="s">
        <v>51</v>
      </c>
      <c r="C35" s="35" t="s">
        <v>52</v>
      </c>
      <c r="D35" s="24"/>
      <c r="E35" s="15"/>
    </row>
    <row r="36" spans="1:5" ht="18" customHeight="1">
      <c r="A36" s="55" t="s">
        <v>207</v>
      </c>
      <c r="B36" s="29" t="s">
        <v>53</v>
      </c>
      <c r="C36" s="35" t="s">
        <v>54</v>
      </c>
      <c r="D36" s="24"/>
      <c r="E36" s="15"/>
    </row>
    <row r="37" spans="1:5" ht="18" customHeight="1">
      <c r="A37" s="55" t="s">
        <v>207</v>
      </c>
      <c r="B37" s="29" t="s">
        <v>55</v>
      </c>
      <c r="C37" s="35" t="s">
        <v>56</v>
      </c>
      <c r="D37" s="24"/>
      <c r="E37" s="15"/>
    </row>
    <row r="38" spans="1:5" ht="18" customHeight="1">
      <c r="A38" s="55" t="s">
        <v>207</v>
      </c>
      <c r="B38" s="29" t="s">
        <v>57</v>
      </c>
      <c r="C38" s="35" t="s">
        <v>58</v>
      </c>
      <c r="D38" s="24"/>
      <c r="E38" s="15"/>
    </row>
    <row r="39" spans="1:5" ht="18" customHeight="1">
      <c r="A39" s="55" t="s">
        <v>207</v>
      </c>
      <c r="B39" s="29" t="s">
        <v>59</v>
      </c>
      <c r="C39" s="35" t="s">
        <v>60</v>
      </c>
      <c r="D39" s="24"/>
      <c r="E39" s="15"/>
    </row>
    <row r="40" spans="1:5" ht="18" customHeight="1">
      <c r="A40" s="55" t="s">
        <v>207</v>
      </c>
      <c r="B40" s="29" t="s">
        <v>61</v>
      </c>
      <c r="C40" s="35" t="s">
        <v>62</v>
      </c>
      <c r="D40" s="24"/>
      <c r="E40" s="15"/>
    </row>
    <row r="41" spans="1:5" ht="18" customHeight="1">
      <c r="A41" s="55" t="s">
        <v>207</v>
      </c>
      <c r="B41" s="29" t="s">
        <v>63</v>
      </c>
      <c r="C41" s="35" t="s">
        <v>64</v>
      </c>
      <c r="D41" s="24"/>
      <c r="E41" s="15"/>
    </row>
    <row r="42" spans="1:5" ht="18" customHeight="1">
      <c r="A42" s="55" t="s">
        <v>207</v>
      </c>
      <c r="B42" s="49" t="s">
        <v>65</v>
      </c>
      <c r="C42" s="46" t="s">
        <v>66</v>
      </c>
      <c r="D42" s="28"/>
      <c r="E42" s="16"/>
    </row>
    <row r="43" spans="1:5" ht="18" customHeight="1">
      <c r="A43" s="55" t="s">
        <v>207</v>
      </c>
      <c r="B43" s="50" t="s">
        <v>217</v>
      </c>
      <c r="C43" s="35" t="s">
        <v>218</v>
      </c>
      <c r="D43" s="28"/>
      <c r="E43" s="16"/>
    </row>
    <row r="44" spans="1:5" ht="18" customHeight="1">
      <c r="A44" s="55" t="s">
        <v>207</v>
      </c>
      <c r="B44" s="50" t="s">
        <v>219</v>
      </c>
      <c r="C44" s="35" t="s">
        <v>220</v>
      </c>
      <c r="D44" s="28"/>
      <c r="E44" s="16"/>
    </row>
    <row r="45" spans="1:5" ht="18" customHeight="1">
      <c r="A45" s="55" t="s">
        <v>207</v>
      </c>
      <c r="B45" s="50" t="s">
        <v>221</v>
      </c>
      <c r="C45" s="35" t="s">
        <v>222</v>
      </c>
      <c r="D45" s="28"/>
      <c r="E45" s="16"/>
    </row>
    <row r="46" spans="1:5" ht="18" customHeight="1">
      <c r="A46" s="55" t="s">
        <v>207</v>
      </c>
      <c r="B46" s="50" t="s">
        <v>223</v>
      </c>
      <c r="C46" s="35" t="s">
        <v>224</v>
      </c>
      <c r="D46" s="28"/>
      <c r="E46" s="16"/>
    </row>
    <row r="47" spans="1:5" ht="18" customHeight="1">
      <c r="A47" s="55" t="s">
        <v>207</v>
      </c>
      <c r="B47" s="50" t="s">
        <v>225</v>
      </c>
      <c r="C47" s="35" t="s">
        <v>226</v>
      </c>
      <c r="D47" s="28"/>
      <c r="E47" s="16"/>
    </row>
    <row r="48" spans="1:5" ht="18" customHeight="1">
      <c r="A48" s="55" t="s">
        <v>207</v>
      </c>
      <c r="B48" s="50" t="s">
        <v>227</v>
      </c>
      <c r="C48" s="35" t="s">
        <v>228</v>
      </c>
      <c r="D48" s="28"/>
      <c r="E48" s="16"/>
    </row>
    <row r="49" spans="1:5" ht="18" customHeight="1">
      <c r="A49" s="55" t="s">
        <v>207</v>
      </c>
      <c r="B49" s="50" t="s">
        <v>229</v>
      </c>
      <c r="C49" s="35" t="s">
        <v>230</v>
      </c>
      <c r="D49" s="28"/>
      <c r="E49" s="16"/>
    </row>
    <row r="50" spans="1:5" ht="18" customHeight="1">
      <c r="A50" s="55" t="s">
        <v>207</v>
      </c>
      <c r="B50" s="50" t="s">
        <v>231</v>
      </c>
      <c r="C50" s="35" t="s">
        <v>232</v>
      </c>
      <c r="D50" s="28"/>
      <c r="E50" s="16"/>
    </row>
    <row r="51" spans="1:5" ht="18" customHeight="1">
      <c r="A51" s="55" t="s">
        <v>207</v>
      </c>
      <c r="B51" s="50" t="s">
        <v>233</v>
      </c>
      <c r="C51" s="35" t="s">
        <v>234</v>
      </c>
      <c r="D51" s="28"/>
      <c r="E51" s="16"/>
    </row>
    <row r="52" spans="1:5" ht="18" customHeight="1">
      <c r="A52" s="55" t="s">
        <v>207</v>
      </c>
      <c r="B52" s="51" t="s">
        <v>235</v>
      </c>
      <c r="C52" s="38" t="s">
        <v>236</v>
      </c>
      <c r="D52" s="28"/>
      <c r="E52" s="16"/>
    </row>
    <row r="53" spans="1:5" ht="18" customHeight="1">
      <c r="A53" s="55" t="s">
        <v>207</v>
      </c>
      <c r="B53" s="48" t="s">
        <v>237</v>
      </c>
      <c r="C53" s="38" t="s">
        <v>238</v>
      </c>
      <c r="D53" s="28"/>
      <c r="E53" s="16"/>
    </row>
    <row r="54" spans="1:5" ht="18" customHeight="1" thickBot="1">
      <c r="A54" s="55" t="s">
        <v>207</v>
      </c>
      <c r="B54" s="48" t="s">
        <v>239</v>
      </c>
      <c r="C54" s="38" t="s">
        <v>240</v>
      </c>
      <c r="D54" s="28"/>
      <c r="E54" s="16"/>
    </row>
    <row r="55" spans="1:5" ht="18" customHeight="1" thickTop="1">
      <c r="A55" s="55" t="s">
        <v>208</v>
      </c>
      <c r="B55" s="18" t="s">
        <v>67</v>
      </c>
      <c r="C55" s="33" t="s">
        <v>68</v>
      </c>
      <c r="D55" s="23"/>
      <c r="E55" s="14"/>
    </row>
    <row r="56" spans="1:5" ht="18" customHeight="1">
      <c r="A56" s="55" t="s">
        <v>208</v>
      </c>
      <c r="B56" s="19" t="s">
        <v>69</v>
      </c>
      <c r="C56" s="37" t="s">
        <v>70</v>
      </c>
      <c r="D56" s="24"/>
      <c r="E56" s="15"/>
    </row>
    <row r="57" spans="1:5" ht="18" customHeight="1">
      <c r="A57" s="55" t="s">
        <v>208</v>
      </c>
      <c r="B57" s="19" t="s">
        <v>71</v>
      </c>
      <c r="C57" s="37" t="s">
        <v>72</v>
      </c>
      <c r="D57" s="24"/>
      <c r="E57" s="15"/>
    </row>
    <row r="58" spans="1:5" ht="18" customHeight="1">
      <c r="A58" s="55" t="s">
        <v>208</v>
      </c>
      <c r="B58" s="50" t="s">
        <v>241</v>
      </c>
      <c r="C58" s="52" t="s">
        <v>242</v>
      </c>
      <c r="D58" s="24"/>
      <c r="E58" s="15"/>
    </row>
    <row r="59" spans="1:5" ht="18" customHeight="1">
      <c r="A59" s="55" t="s">
        <v>208</v>
      </c>
      <c r="B59" s="50" t="s">
        <v>243</v>
      </c>
      <c r="C59" s="52" t="s">
        <v>244</v>
      </c>
      <c r="D59" s="24"/>
      <c r="E59" s="15"/>
    </row>
    <row r="60" spans="1:5" ht="18" customHeight="1">
      <c r="A60" s="55" t="s">
        <v>208</v>
      </c>
      <c r="B60" s="50" t="s">
        <v>245</v>
      </c>
      <c r="C60" s="52" t="s">
        <v>209</v>
      </c>
      <c r="D60" s="24"/>
      <c r="E60" s="15"/>
    </row>
    <row r="61" spans="1:5" ht="18" customHeight="1">
      <c r="A61" s="55" t="s">
        <v>208</v>
      </c>
      <c r="B61" s="50" t="s">
        <v>246</v>
      </c>
      <c r="C61" s="52" t="s">
        <v>210</v>
      </c>
      <c r="D61" s="24"/>
      <c r="E61" s="15"/>
    </row>
    <row r="62" spans="1:5" ht="18" customHeight="1">
      <c r="A62" s="55" t="s">
        <v>208</v>
      </c>
      <c r="B62" s="50" t="s">
        <v>247</v>
      </c>
      <c r="C62" s="52" t="s">
        <v>211</v>
      </c>
      <c r="D62" s="24"/>
      <c r="E62" s="15"/>
    </row>
    <row r="63" spans="1:5" ht="18" customHeight="1">
      <c r="A63" s="55" t="s">
        <v>208</v>
      </c>
      <c r="B63" s="50" t="s">
        <v>248</v>
      </c>
      <c r="C63" s="52" t="s">
        <v>249</v>
      </c>
      <c r="D63" s="24"/>
      <c r="E63" s="15"/>
    </row>
    <row r="64" spans="1:5" ht="18" customHeight="1">
      <c r="A64" s="55" t="s">
        <v>208</v>
      </c>
      <c r="B64" s="50" t="s">
        <v>250</v>
      </c>
      <c r="C64" s="52" t="s">
        <v>251</v>
      </c>
      <c r="D64" s="24"/>
      <c r="E64" s="15"/>
    </row>
    <row r="65" spans="1:5" ht="18" customHeight="1">
      <c r="A65" s="55" t="s">
        <v>208</v>
      </c>
      <c r="B65" s="50" t="s">
        <v>252</v>
      </c>
      <c r="C65" s="52" t="s">
        <v>253</v>
      </c>
      <c r="D65" s="24"/>
      <c r="E65" s="15"/>
    </row>
    <row r="66" spans="1:5" ht="18" customHeight="1">
      <c r="A66" s="55" t="s">
        <v>208</v>
      </c>
      <c r="B66" s="50" t="s">
        <v>254</v>
      </c>
      <c r="C66" s="52" t="s">
        <v>255</v>
      </c>
      <c r="D66" s="24"/>
      <c r="E66" s="15"/>
    </row>
    <row r="67" spans="1:5" ht="18" customHeight="1">
      <c r="A67" s="55" t="s">
        <v>208</v>
      </c>
      <c r="B67" s="50" t="s">
        <v>256</v>
      </c>
      <c r="C67" s="52" t="s">
        <v>257</v>
      </c>
      <c r="D67" s="24"/>
      <c r="E67" s="15"/>
    </row>
    <row r="68" spans="1:5" ht="18" customHeight="1">
      <c r="A68" s="55" t="s">
        <v>208</v>
      </c>
      <c r="B68" s="50" t="s">
        <v>258</v>
      </c>
      <c r="C68" s="52" t="s">
        <v>259</v>
      </c>
      <c r="D68" s="24"/>
      <c r="E68" s="15"/>
    </row>
    <row r="69" spans="1:5" ht="18" customHeight="1">
      <c r="A69" s="55" t="s">
        <v>208</v>
      </c>
      <c r="B69" s="50" t="s">
        <v>260</v>
      </c>
      <c r="C69" s="52" t="s">
        <v>261</v>
      </c>
      <c r="D69" s="24"/>
      <c r="E69" s="15"/>
    </row>
    <row r="70" spans="1:5" ht="18" customHeight="1">
      <c r="A70" s="55" t="s">
        <v>208</v>
      </c>
      <c r="B70" s="50" t="s">
        <v>262</v>
      </c>
      <c r="C70" s="52" t="s">
        <v>263</v>
      </c>
      <c r="D70" s="24"/>
      <c r="E70" s="15"/>
    </row>
    <row r="71" spans="1:5" ht="18" customHeight="1">
      <c r="A71" s="55" t="s">
        <v>208</v>
      </c>
      <c r="B71" s="50" t="s">
        <v>265</v>
      </c>
      <c r="C71" s="52" t="s">
        <v>264</v>
      </c>
      <c r="D71" s="24"/>
      <c r="E71" s="15"/>
    </row>
    <row r="72" spans="1:5" ht="18" customHeight="1">
      <c r="A72" s="55" t="s">
        <v>208</v>
      </c>
      <c r="B72" s="53" t="s">
        <v>73</v>
      </c>
      <c r="C72" s="45" t="s">
        <v>266</v>
      </c>
      <c r="D72" s="24"/>
      <c r="E72" s="15"/>
    </row>
    <row r="73" spans="1:5" ht="18" customHeight="1">
      <c r="A73" s="55" t="s">
        <v>208</v>
      </c>
      <c r="B73" s="50" t="s">
        <v>267</v>
      </c>
      <c r="C73" s="52" t="s">
        <v>268</v>
      </c>
      <c r="D73" s="24"/>
      <c r="E73" s="15"/>
    </row>
    <row r="74" spans="1:5" ht="18" customHeight="1">
      <c r="A74" s="55" t="s">
        <v>208</v>
      </c>
      <c r="B74" s="54" t="s">
        <v>269</v>
      </c>
      <c r="C74" s="47" t="s">
        <v>270</v>
      </c>
      <c r="D74" s="24"/>
      <c r="E74" s="15"/>
    </row>
    <row r="75" spans="1:5" ht="18" customHeight="1">
      <c r="A75" s="55" t="s">
        <v>208</v>
      </c>
      <c r="B75" s="54" t="s">
        <v>271</v>
      </c>
      <c r="C75" s="47" t="s">
        <v>272</v>
      </c>
      <c r="D75" s="24"/>
      <c r="E75" s="15"/>
    </row>
    <row r="76" spans="1:5" ht="18" customHeight="1">
      <c r="A76" s="55" t="s">
        <v>208</v>
      </c>
      <c r="B76" s="54" t="s">
        <v>273</v>
      </c>
      <c r="C76" s="47" t="s">
        <v>274</v>
      </c>
      <c r="D76" s="24"/>
      <c r="E76" s="15"/>
    </row>
    <row r="77" spans="1:5" ht="18" customHeight="1">
      <c r="A77" s="55" t="s">
        <v>208</v>
      </c>
      <c r="B77" s="54" t="s">
        <v>275</v>
      </c>
      <c r="C77" s="47" t="s">
        <v>276</v>
      </c>
      <c r="D77" s="24"/>
      <c r="E77" s="15"/>
    </row>
    <row r="78" spans="1:5" ht="18" customHeight="1">
      <c r="A78" s="55" t="s">
        <v>208</v>
      </c>
      <c r="B78" s="50" t="s">
        <v>74</v>
      </c>
      <c r="C78" s="52" t="s">
        <v>277</v>
      </c>
      <c r="D78" s="24"/>
      <c r="E78" s="15"/>
    </row>
    <row r="79" spans="1:5" ht="18" customHeight="1">
      <c r="A79" s="55" t="s">
        <v>208</v>
      </c>
      <c r="B79" s="50" t="s">
        <v>75</v>
      </c>
      <c r="C79" s="52" t="s">
        <v>278</v>
      </c>
      <c r="D79" s="24"/>
      <c r="E79" s="15"/>
    </row>
    <row r="80" spans="1:5" ht="18" customHeight="1">
      <c r="A80" s="55"/>
      <c r="B80" s="39" t="s">
        <v>280</v>
      </c>
      <c r="C80" s="45" t="s">
        <v>279</v>
      </c>
      <c r="D80" s="24"/>
      <c r="E80" s="15"/>
    </row>
    <row r="81" spans="1:5" ht="18" customHeight="1">
      <c r="A81" s="55" t="s">
        <v>208</v>
      </c>
      <c r="B81" s="29" t="s">
        <v>76</v>
      </c>
      <c r="C81" s="35" t="s">
        <v>77</v>
      </c>
      <c r="D81" s="24"/>
      <c r="E81" s="15"/>
    </row>
    <row r="82" spans="1:5" ht="18" customHeight="1">
      <c r="A82" s="55" t="s">
        <v>208</v>
      </c>
      <c r="B82" s="42" t="s">
        <v>281</v>
      </c>
      <c r="C82" s="43" t="s">
        <v>282</v>
      </c>
      <c r="D82" s="24"/>
      <c r="E82" s="15"/>
    </row>
    <row r="83" spans="1:5" ht="32">
      <c r="A83" s="55" t="s">
        <v>208</v>
      </c>
      <c r="B83" s="42" t="s">
        <v>283</v>
      </c>
      <c r="C83" s="47" t="s">
        <v>284</v>
      </c>
      <c r="D83" s="24"/>
      <c r="E83" s="15"/>
    </row>
    <row r="84" spans="1:5" ht="18" customHeight="1">
      <c r="A84" s="55" t="s">
        <v>208</v>
      </c>
      <c r="B84" s="29" t="s">
        <v>78</v>
      </c>
      <c r="C84" s="35" t="s">
        <v>79</v>
      </c>
      <c r="D84" s="24"/>
      <c r="E84" s="15"/>
    </row>
    <row r="85" spans="1:5" ht="18" customHeight="1">
      <c r="A85" s="55" t="s">
        <v>208</v>
      </c>
      <c r="B85" s="54" t="s">
        <v>285</v>
      </c>
      <c r="C85" s="47" t="s">
        <v>286</v>
      </c>
      <c r="D85" s="24"/>
      <c r="E85" s="15"/>
    </row>
    <row r="86" spans="1:5" ht="32">
      <c r="A86" s="55" t="s">
        <v>208</v>
      </c>
      <c r="B86" s="54" t="s">
        <v>287</v>
      </c>
      <c r="C86" s="47" t="s">
        <v>288</v>
      </c>
      <c r="D86" s="24"/>
      <c r="E86" s="15"/>
    </row>
    <row r="87" spans="1:5" ht="18" customHeight="1">
      <c r="A87" s="55" t="s">
        <v>208</v>
      </c>
      <c r="B87" s="29" t="s">
        <v>80</v>
      </c>
      <c r="C87" s="35" t="s">
        <v>81</v>
      </c>
      <c r="D87" s="24"/>
      <c r="E87" s="15"/>
    </row>
    <row r="88" spans="1:5" ht="18" customHeight="1">
      <c r="A88" s="55" t="s">
        <v>208</v>
      </c>
      <c r="B88" s="29" t="s">
        <v>82</v>
      </c>
      <c r="C88" s="35" t="s">
        <v>83</v>
      </c>
      <c r="D88" s="24"/>
      <c r="E88" s="15"/>
    </row>
    <row r="89" spans="1:5" ht="18" customHeight="1">
      <c r="A89" s="55"/>
      <c r="B89" s="19" t="s">
        <v>290</v>
      </c>
      <c r="C89" s="37" t="s">
        <v>289</v>
      </c>
      <c r="D89" s="24"/>
      <c r="E89" s="15"/>
    </row>
    <row r="90" spans="1:5" ht="18" customHeight="1">
      <c r="A90" s="55" t="s">
        <v>208</v>
      </c>
      <c r="B90" s="29" t="s">
        <v>84</v>
      </c>
      <c r="C90" s="35" t="s">
        <v>85</v>
      </c>
      <c r="D90" s="24"/>
      <c r="E90" s="15"/>
    </row>
    <row r="91" spans="1:5" ht="18" customHeight="1">
      <c r="A91" s="55" t="s">
        <v>208</v>
      </c>
      <c r="B91" s="29" t="s">
        <v>86</v>
      </c>
      <c r="C91" s="35" t="s">
        <v>87</v>
      </c>
      <c r="D91" s="24"/>
      <c r="E91" s="15"/>
    </row>
    <row r="92" spans="1:5" ht="18" customHeight="1">
      <c r="A92" s="55" t="s">
        <v>208</v>
      </c>
      <c r="B92" s="29" t="s">
        <v>88</v>
      </c>
      <c r="C92" s="35" t="s">
        <v>89</v>
      </c>
      <c r="D92" s="24"/>
      <c r="E92" s="15"/>
    </row>
    <row r="93" spans="1:5" ht="18" customHeight="1">
      <c r="A93" s="55" t="s">
        <v>208</v>
      </c>
      <c r="B93" s="29" t="s">
        <v>90</v>
      </c>
      <c r="C93" s="35" t="s">
        <v>294</v>
      </c>
      <c r="D93" s="24"/>
      <c r="E93" s="15"/>
    </row>
    <row r="94" spans="1:5" ht="18" customHeight="1">
      <c r="A94" s="55" t="s">
        <v>208</v>
      </c>
      <c r="B94" s="54" t="s">
        <v>291</v>
      </c>
      <c r="C94" s="47" t="s">
        <v>295</v>
      </c>
      <c r="D94" s="28"/>
      <c r="E94" s="16"/>
    </row>
    <row r="95" spans="1:5" ht="18" customHeight="1">
      <c r="A95" s="55" t="s">
        <v>208</v>
      </c>
      <c r="B95" s="54" t="s">
        <v>292</v>
      </c>
      <c r="C95" s="47" t="s">
        <v>296</v>
      </c>
      <c r="D95" s="28"/>
      <c r="E95" s="16"/>
    </row>
    <row r="96" spans="1:5" ht="18" customHeight="1">
      <c r="A96" s="55" t="s">
        <v>208</v>
      </c>
      <c r="B96" s="54" t="s">
        <v>293</v>
      </c>
      <c r="C96" s="47" t="s">
        <v>297</v>
      </c>
      <c r="D96" s="28"/>
      <c r="E96" s="16"/>
    </row>
    <row r="97" spans="1:5" ht="18" customHeight="1" thickBot="1">
      <c r="A97" s="55" t="s">
        <v>208</v>
      </c>
      <c r="B97" s="30" t="s">
        <v>91</v>
      </c>
      <c r="C97" s="36" t="s">
        <v>92</v>
      </c>
      <c r="D97" s="25"/>
      <c r="E97" s="22"/>
    </row>
    <row r="98" spans="1:5" ht="18" customHeight="1" thickTop="1">
      <c r="A98" s="55"/>
      <c r="B98" s="19" t="s">
        <v>298</v>
      </c>
      <c r="C98" s="34" t="s">
        <v>299</v>
      </c>
      <c r="D98" s="31"/>
      <c r="E98" s="20"/>
    </row>
    <row r="99" spans="1:5" ht="18" customHeight="1">
      <c r="A99" s="55" t="s">
        <v>209</v>
      </c>
      <c r="B99" s="29" t="s">
        <v>93</v>
      </c>
      <c r="C99" s="35" t="s">
        <v>94</v>
      </c>
      <c r="D99" s="24"/>
      <c r="E99" s="15"/>
    </row>
    <row r="100" spans="1:5" ht="18" customHeight="1">
      <c r="A100" s="55" t="s">
        <v>209</v>
      </c>
      <c r="B100" s="29" t="s">
        <v>95</v>
      </c>
      <c r="C100" s="35" t="s">
        <v>96</v>
      </c>
      <c r="D100" s="24"/>
      <c r="E100" s="15"/>
    </row>
    <row r="101" spans="1:5" ht="18" customHeight="1">
      <c r="A101" s="55"/>
      <c r="B101" s="19" t="s">
        <v>300</v>
      </c>
      <c r="C101" s="37" t="s">
        <v>301</v>
      </c>
      <c r="D101" s="24"/>
      <c r="E101" s="15"/>
    </row>
    <row r="102" spans="1:5" ht="18" customHeight="1">
      <c r="A102" s="55" t="s">
        <v>209</v>
      </c>
      <c r="B102" s="29" t="s">
        <v>97</v>
      </c>
      <c r="C102" s="35" t="s">
        <v>98</v>
      </c>
      <c r="D102" s="24"/>
      <c r="E102" s="15"/>
    </row>
    <row r="103" spans="1:5" ht="18" customHeight="1">
      <c r="A103" s="55" t="s">
        <v>209</v>
      </c>
      <c r="B103" s="29" t="s">
        <v>99</v>
      </c>
      <c r="C103" s="35" t="s">
        <v>100</v>
      </c>
      <c r="D103" s="24"/>
      <c r="E103" s="15"/>
    </row>
    <row r="104" spans="1:5" ht="18" customHeight="1">
      <c r="A104" s="55" t="s">
        <v>209</v>
      </c>
      <c r="B104" s="29" t="s">
        <v>101</v>
      </c>
      <c r="C104" s="35" t="s">
        <v>102</v>
      </c>
      <c r="D104" s="24"/>
      <c r="E104" s="15"/>
    </row>
    <row r="105" spans="1:5" ht="18" customHeight="1">
      <c r="A105" s="55"/>
      <c r="B105" s="19" t="s">
        <v>307</v>
      </c>
      <c r="C105" s="37" t="s">
        <v>302</v>
      </c>
      <c r="D105" s="24"/>
      <c r="E105" s="15"/>
    </row>
    <row r="106" spans="1:5" ht="18" customHeight="1">
      <c r="A106" s="55" t="s">
        <v>209</v>
      </c>
      <c r="B106" s="29" t="s">
        <v>103</v>
      </c>
      <c r="C106" s="35" t="s">
        <v>104</v>
      </c>
      <c r="D106" s="24"/>
      <c r="E106" s="15"/>
    </row>
    <row r="107" spans="1:5" ht="18" customHeight="1">
      <c r="A107" s="55" t="s">
        <v>209</v>
      </c>
      <c r="B107" s="29" t="s">
        <v>105</v>
      </c>
      <c r="C107" s="35" t="s">
        <v>308</v>
      </c>
      <c r="D107" s="24"/>
      <c r="E107" s="15"/>
    </row>
    <row r="108" spans="1:5" ht="18" customHeight="1">
      <c r="A108" s="55" t="s">
        <v>209</v>
      </c>
      <c r="B108" s="54" t="s">
        <v>303</v>
      </c>
      <c r="C108" s="47" t="s">
        <v>309</v>
      </c>
      <c r="D108" s="24"/>
      <c r="E108" s="15"/>
    </row>
    <row r="109" spans="1:5" ht="18" customHeight="1">
      <c r="A109" s="55" t="s">
        <v>209</v>
      </c>
      <c r="B109" s="54" t="s">
        <v>304</v>
      </c>
      <c r="C109" s="47" t="s">
        <v>310</v>
      </c>
      <c r="D109" s="24"/>
      <c r="E109" s="15"/>
    </row>
    <row r="110" spans="1:5" ht="18" customHeight="1">
      <c r="A110" s="55" t="s">
        <v>209</v>
      </c>
      <c r="B110" s="54" t="s">
        <v>305</v>
      </c>
      <c r="C110" s="47" t="s">
        <v>311</v>
      </c>
      <c r="D110" s="24"/>
      <c r="E110" s="15"/>
    </row>
    <row r="111" spans="1:5" ht="18" customHeight="1">
      <c r="A111" s="55" t="s">
        <v>209</v>
      </c>
      <c r="B111" s="54" t="s">
        <v>306</v>
      </c>
      <c r="C111" s="43" t="s">
        <v>312</v>
      </c>
      <c r="D111" s="24"/>
      <c r="E111" s="15"/>
    </row>
    <row r="112" spans="1:5" ht="18" customHeight="1">
      <c r="A112" s="55" t="s">
        <v>209</v>
      </c>
      <c r="B112" s="29" t="s">
        <v>345</v>
      </c>
      <c r="C112" s="35" t="s">
        <v>344</v>
      </c>
      <c r="D112" s="24"/>
      <c r="E112" s="15"/>
    </row>
    <row r="113" spans="1:5" ht="18" customHeight="1">
      <c r="A113" s="55" t="s">
        <v>209</v>
      </c>
      <c r="B113" s="29" t="s">
        <v>106</v>
      </c>
      <c r="C113" s="35" t="s">
        <v>107</v>
      </c>
      <c r="D113" s="24"/>
      <c r="E113" s="15"/>
    </row>
    <row r="114" spans="1:5" ht="18" customHeight="1">
      <c r="A114" s="55" t="s">
        <v>209</v>
      </c>
      <c r="B114" s="29" t="s">
        <v>108</v>
      </c>
      <c r="C114" s="35" t="s">
        <v>109</v>
      </c>
      <c r="D114" s="24"/>
      <c r="E114" s="15"/>
    </row>
    <row r="115" spans="1:5" ht="18" customHeight="1" thickBot="1">
      <c r="A115" s="55" t="s">
        <v>209</v>
      </c>
      <c r="B115" s="30" t="s">
        <v>110</v>
      </c>
      <c r="C115" s="36" t="s">
        <v>111</v>
      </c>
      <c r="D115" s="25"/>
      <c r="E115" s="22"/>
    </row>
    <row r="116" spans="1:5" ht="18" customHeight="1" thickTop="1">
      <c r="A116" s="56"/>
      <c r="B116" s="26" t="s">
        <v>210</v>
      </c>
      <c r="C116" s="33"/>
      <c r="D116" s="23"/>
      <c r="E116" s="14"/>
    </row>
    <row r="117" spans="1:5" ht="18" customHeight="1" thickBot="1">
      <c r="A117" s="57" t="s">
        <v>210</v>
      </c>
      <c r="B117" s="27" t="s">
        <v>112</v>
      </c>
      <c r="C117" s="41" t="s">
        <v>113</v>
      </c>
      <c r="D117" s="28"/>
      <c r="E117" s="16"/>
    </row>
    <row r="118" spans="1:5" ht="18" customHeight="1" thickTop="1">
      <c r="A118" s="56"/>
      <c r="B118" s="26" t="s">
        <v>211</v>
      </c>
      <c r="C118" s="33"/>
      <c r="D118" s="23"/>
      <c r="E118" s="14"/>
    </row>
    <row r="119" spans="1:5" ht="18" customHeight="1">
      <c r="A119" s="55" t="s">
        <v>211</v>
      </c>
      <c r="B119" s="19" t="s">
        <v>114</v>
      </c>
      <c r="C119" s="37" t="s">
        <v>115</v>
      </c>
      <c r="D119" s="24"/>
      <c r="E119" s="15"/>
    </row>
    <row r="120" spans="1:5" ht="18" customHeight="1" thickBot="1">
      <c r="A120" s="55" t="s">
        <v>211</v>
      </c>
      <c r="B120" s="21" t="s">
        <v>116</v>
      </c>
      <c r="C120" s="40" t="s">
        <v>117</v>
      </c>
      <c r="D120" s="25"/>
      <c r="E120" s="22"/>
    </row>
    <row r="121" spans="1:5" ht="18" customHeight="1" thickTop="1">
      <c r="A121" s="56"/>
      <c r="B121" s="26" t="s">
        <v>212</v>
      </c>
      <c r="C121" s="33"/>
      <c r="D121" s="23"/>
      <c r="E121" s="14"/>
    </row>
    <row r="122" spans="1:5" ht="32">
      <c r="A122" s="55" t="s">
        <v>212</v>
      </c>
      <c r="B122" s="19" t="s">
        <v>313</v>
      </c>
      <c r="C122" s="44" t="s">
        <v>314</v>
      </c>
      <c r="D122" s="31"/>
      <c r="E122" s="20"/>
    </row>
    <row r="123" spans="1:5" ht="18" customHeight="1">
      <c r="A123" s="55" t="s">
        <v>212</v>
      </c>
      <c r="B123" s="29" t="s">
        <v>118</v>
      </c>
      <c r="C123" s="35" t="s">
        <v>119</v>
      </c>
      <c r="D123" s="24"/>
      <c r="E123" s="15"/>
    </row>
    <row r="124" spans="1:5" ht="18" customHeight="1">
      <c r="A124" s="55" t="s">
        <v>212</v>
      </c>
      <c r="B124" s="29" t="s">
        <v>120</v>
      </c>
      <c r="C124" s="35" t="s">
        <v>121</v>
      </c>
      <c r="D124" s="24"/>
      <c r="E124" s="15"/>
    </row>
    <row r="125" spans="1:5" ht="18" customHeight="1">
      <c r="A125" s="55" t="s">
        <v>212</v>
      </c>
      <c r="B125" s="29" t="s">
        <v>122</v>
      </c>
      <c r="C125" s="35" t="s">
        <v>123</v>
      </c>
      <c r="D125" s="24"/>
      <c r="E125" s="15"/>
    </row>
    <row r="126" spans="1:5" ht="18" customHeight="1">
      <c r="A126" s="55" t="s">
        <v>212</v>
      </c>
      <c r="B126" s="29" t="s">
        <v>124</v>
      </c>
      <c r="C126" s="35" t="s">
        <v>125</v>
      </c>
      <c r="D126" s="24"/>
      <c r="E126" s="15"/>
    </row>
    <row r="127" spans="1:5" ht="18" customHeight="1">
      <c r="A127" s="55" t="s">
        <v>212</v>
      </c>
      <c r="B127" s="29" t="s">
        <v>126</v>
      </c>
      <c r="C127" s="35" t="s">
        <v>127</v>
      </c>
      <c r="D127" s="24"/>
      <c r="E127" s="15"/>
    </row>
    <row r="128" spans="1:5" ht="18" customHeight="1">
      <c r="A128" s="55" t="s">
        <v>212</v>
      </c>
      <c r="B128" s="29" t="s">
        <v>128</v>
      </c>
      <c r="C128" s="35" t="s">
        <v>129</v>
      </c>
      <c r="D128" s="24"/>
      <c r="E128" s="15"/>
    </row>
    <row r="129" spans="1:5" ht="18" customHeight="1">
      <c r="A129" s="55" t="s">
        <v>212</v>
      </c>
      <c r="B129" s="29" t="s">
        <v>130</v>
      </c>
      <c r="C129" s="35" t="s">
        <v>131</v>
      </c>
      <c r="D129" s="24"/>
      <c r="E129" s="15"/>
    </row>
    <row r="130" spans="1:5" ht="32">
      <c r="A130" s="55" t="s">
        <v>212</v>
      </c>
      <c r="B130" s="19" t="s">
        <v>315</v>
      </c>
      <c r="C130" s="45" t="s">
        <v>316</v>
      </c>
      <c r="D130" s="24"/>
      <c r="E130" s="15"/>
    </row>
    <row r="131" spans="1:5" ht="18" customHeight="1">
      <c r="A131" s="55" t="s">
        <v>212</v>
      </c>
      <c r="B131" s="29" t="s">
        <v>132</v>
      </c>
      <c r="C131" s="35" t="s">
        <v>133</v>
      </c>
      <c r="D131" s="24"/>
      <c r="E131" s="15"/>
    </row>
    <row r="132" spans="1:5" ht="18" customHeight="1">
      <c r="A132" s="55" t="s">
        <v>212</v>
      </c>
      <c r="B132" s="29" t="s">
        <v>134</v>
      </c>
      <c r="C132" s="35" t="s">
        <v>135</v>
      </c>
      <c r="D132" s="24"/>
      <c r="E132" s="15"/>
    </row>
    <row r="133" spans="1:5" ht="18" customHeight="1">
      <c r="A133" s="55" t="s">
        <v>212</v>
      </c>
      <c r="B133" s="29" t="s">
        <v>136</v>
      </c>
      <c r="C133" s="35" t="s">
        <v>137</v>
      </c>
      <c r="D133" s="24"/>
      <c r="E133" s="15"/>
    </row>
    <row r="134" spans="1:5" ht="18" customHeight="1">
      <c r="A134" s="55" t="s">
        <v>212</v>
      </c>
      <c r="B134" s="29" t="s">
        <v>138</v>
      </c>
      <c r="C134" s="35" t="s">
        <v>139</v>
      </c>
      <c r="D134" s="24"/>
      <c r="E134" s="15"/>
    </row>
    <row r="135" spans="1:5" ht="18" customHeight="1">
      <c r="A135" s="55" t="s">
        <v>212</v>
      </c>
      <c r="B135" s="19" t="s">
        <v>346</v>
      </c>
      <c r="C135" s="37" t="s">
        <v>317</v>
      </c>
      <c r="D135" s="24"/>
      <c r="E135" s="15"/>
    </row>
    <row r="136" spans="1:5" ht="18" customHeight="1">
      <c r="A136" s="55" t="s">
        <v>212</v>
      </c>
      <c r="B136" s="29" t="s">
        <v>140</v>
      </c>
      <c r="C136" s="35" t="s">
        <v>141</v>
      </c>
      <c r="D136" s="24"/>
      <c r="E136" s="15"/>
    </row>
    <row r="137" spans="1:5" ht="18" customHeight="1">
      <c r="A137" s="55" t="s">
        <v>212</v>
      </c>
      <c r="B137" s="29" t="s">
        <v>142</v>
      </c>
      <c r="C137" s="35" t="s">
        <v>143</v>
      </c>
      <c r="D137" s="24"/>
      <c r="E137" s="15"/>
    </row>
    <row r="138" spans="1:5" ht="18" customHeight="1">
      <c r="A138" s="55" t="s">
        <v>212</v>
      </c>
      <c r="B138" s="19" t="s">
        <v>319</v>
      </c>
      <c r="C138" s="37" t="s">
        <v>318</v>
      </c>
      <c r="D138" s="24"/>
      <c r="E138" s="15"/>
    </row>
    <row r="139" spans="1:5" ht="18" customHeight="1">
      <c r="A139" s="55" t="s">
        <v>212</v>
      </c>
      <c r="B139" s="29" t="s">
        <v>144</v>
      </c>
      <c r="C139" s="35" t="s">
        <v>145</v>
      </c>
      <c r="D139" s="24"/>
      <c r="E139" s="15"/>
    </row>
    <row r="140" spans="1:5" ht="18" customHeight="1">
      <c r="A140" s="55" t="s">
        <v>212</v>
      </c>
      <c r="B140" s="54" t="s">
        <v>320</v>
      </c>
      <c r="C140" s="47" t="s">
        <v>321</v>
      </c>
      <c r="D140" s="24"/>
      <c r="E140" s="15"/>
    </row>
    <row r="141" spans="1:5" ht="18" customHeight="1">
      <c r="A141" s="55" t="s">
        <v>212</v>
      </c>
      <c r="B141" s="54" t="s">
        <v>322</v>
      </c>
      <c r="C141" s="47" t="s">
        <v>323</v>
      </c>
      <c r="D141" s="24"/>
      <c r="E141" s="15"/>
    </row>
    <row r="142" spans="1:5" ht="18" customHeight="1">
      <c r="A142" s="55" t="s">
        <v>212</v>
      </c>
      <c r="B142" s="54" t="s">
        <v>324</v>
      </c>
      <c r="C142" s="47" t="s">
        <v>325</v>
      </c>
      <c r="D142" s="24"/>
      <c r="E142" s="15"/>
    </row>
    <row r="143" spans="1:5" ht="18" customHeight="1">
      <c r="A143" s="55" t="s">
        <v>212</v>
      </c>
      <c r="B143" s="54" t="s">
        <v>326</v>
      </c>
      <c r="C143" s="47" t="s">
        <v>327</v>
      </c>
      <c r="D143" s="24"/>
      <c r="E143" s="15"/>
    </row>
    <row r="144" spans="1:5" ht="18" customHeight="1">
      <c r="A144" s="55" t="s">
        <v>212</v>
      </c>
      <c r="B144" s="54" t="s">
        <v>328</v>
      </c>
      <c r="C144" s="47" t="s">
        <v>167</v>
      </c>
      <c r="D144" s="24"/>
      <c r="E144" s="15"/>
    </row>
    <row r="145" spans="1:5" ht="18" customHeight="1">
      <c r="A145" s="55" t="s">
        <v>212</v>
      </c>
      <c r="B145" s="29" t="s">
        <v>146</v>
      </c>
      <c r="C145" s="35" t="s">
        <v>147</v>
      </c>
      <c r="D145" s="24"/>
      <c r="E145" s="15"/>
    </row>
    <row r="146" spans="1:5" ht="18" customHeight="1">
      <c r="A146" s="55" t="s">
        <v>212</v>
      </c>
      <c r="B146" s="42" t="s">
        <v>332</v>
      </c>
      <c r="C146" s="43" t="s">
        <v>331</v>
      </c>
      <c r="D146" s="24"/>
      <c r="E146" s="15"/>
    </row>
    <row r="147" spans="1:5" ht="18" customHeight="1">
      <c r="A147" s="55" t="s">
        <v>212</v>
      </c>
      <c r="B147" s="42" t="s">
        <v>333</v>
      </c>
      <c r="C147" s="43" t="s">
        <v>330</v>
      </c>
      <c r="D147" s="24"/>
      <c r="E147" s="15"/>
    </row>
    <row r="148" spans="1:5" ht="18" customHeight="1">
      <c r="A148" s="55" t="s">
        <v>212</v>
      </c>
      <c r="B148" s="29" t="s">
        <v>148</v>
      </c>
      <c r="C148" s="35" t="s">
        <v>149</v>
      </c>
      <c r="D148" s="24"/>
      <c r="E148" s="15"/>
    </row>
    <row r="149" spans="1:5" ht="18" customHeight="1">
      <c r="A149" s="55" t="s">
        <v>212</v>
      </c>
      <c r="B149" s="29" t="s">
        <v>150</v>
      </c>
      <c r="C149" s="35" t="s">
        <v>151</v>
      </c>
      <c r="D149" s="24"/>
      <c r="E149" s="15"/>
    </row>
    <row r="150" spans="1:5" ht="32">
      <c r="A150" s="55" t="s">
        <v>212</v>
      </c>
      <c r="B150" s="32" t="s">
        <v>335</v>
      </c>
      <c r="C150" s="45" t="s">
        <v>334</v>
      </c>
      <c r="D150" s="24"/>
      <c r="E150" s="15"/>
    </row>
    <row r="151" spans="1:5" ht="18" customHeight="1">
      <c r="A151" s="55" t="s">
        <v>212</v>
      </c>
      <c r="B151" s="29" t="s">
        <v>152</v>
      </c>
      <c r="C151" s="35" t="s">
        <v>153</v>
      </c>
      <c r="D151" s="24"/>
      <c r="E151" s="15"/>
    </row>
    <row r="152" spans="1:5" ht="18" customHeight="1">
      <c r="A152" s="55" t="s">
        <v>212</v>
      </c>
      <c r="B152" s="42" t="s">
        <v>154</v>
      </c>
      <c r="C152" s="43" t="s">
        <v>155</v>
      </c>
      <c r="D152" s="24"/>
      <c r="E152" s="15"/>
    </row>
    <row r="153" spans="1:5" ht="18" customHeight="1">
      <c r="A153" s="55" t="s">
        <v>212</v>
      </c>
      <c r="B153" s="42" t="s">
        <v>156</v>
      </c>
      <c r="C153" s="43" t="s">
        <v>157</v>
      </c>
      <c r="D153" s="24"/>
      <c r="E153" s="15"/>
    </row>
    <row r="154" spans="1:5" ht="18" customHeight="1">
      <c r="A154" s="55" t="s">
        <v>212</v>
      </c>
      <c r="B154" s="42" t="s">
        <v>158</v>
      </c>
      <c r="C154" s="43" t="s">
        <v>159</v>
      </c>
      <c r="D154" s="24"/>
      <c r="E154" s="15"/>
    </row>
    <row r="155" spans="1:5" ht="18" customHeight="1">
      <c r="A155" s="55" t="s">
        <v>212</v>
      </c>
      <c r="B155" s="42" t="s">
        <v>160</v>
      </c>
      <c r="C155" s="43" t="s">
        <v>161</v>
      </c>
      <c r="D155" s="24"/>
      <c r="E155" s="15"/>
    </row>
    <row r="156" spans="1:5" ht="18" customHeight="1">
      <c r="A156" s="55" t="s">
        <v>212</v>
      </c>
      <c r="B156" s="42" t="s">
        <v>162</v>
      </c>
      <c r="C156" s="43" t="s">
        <v>163</v>
      </c>
      <c r="D156" s="24"/>
      <c r="E156" s="15"/>
    </row>
    <row r="157" spans="1:5" ht="18" customHeight="1">
      <c r="A157" s="55" t="s">
        <v>212</v>
      </c>
      <c r="B157" s="29" t="s">
        <v>164</v>
      </c>
      <c r="C157" s="35" t="s">
        <v>165</v>
      </c>
      <c r="D157" s="24"/>
      <c r="E157" s="15"/>
    </row>
    <row r="158" spans="1:5" ht="18" customHeight="1">
      <c r="A158" s="55" t="s">
        <v>212</v>
      </c>
      <c r="B158" s="42" t="s">
        <v>166</v>
      </c>
      <c r="C158" s="43" t="s">
        <v>167</v>
      </c>
      <c r="D158" s="24"/>
      <c r="E158" s="15"/>
    </row>
    <row r="159" spans="1:5" ht="18" customHeight="1">
      <c r="A159" s="55" t="s">
        <v>212</v>
      </c>
      <c r="B159" s="42" t="s">
        <v>168</v>
      </c>
      <c r="C159" s="43" t="s">
        <v>169</v>
      </c>
      <c r="D159" s="24"/>
      <c r="E159" s="15"/>
    </row>
    <row r="160" spans="1:5" ht="18" customHeight="1">
      <c r="A160" s="55" t="s">
        <v>212</v>
      </c>
      <c r="B160" s="42" t="s">
        <v>170</v>
      </c>
      <c r="C160" s="43" t="s">
        <v>171</v>
      </c>
      <c r="D160" s="24"/>
      <c r="E160" s="15"/>
    </row>
    <row r="161" spans="1:5" ht="18" customHeight="1">
      <c r="A161" s="55" t="s">
        <v>212</v>
      </c>
      <c r="B161" s="42" t="s">
        <v>172</v>
      </c>
      <c r="C161" s="43" t="s">
        <v>173</v>
      </c>
      <c r="D161" s="24"/>
      <c r="E161" s="15"/>
    </row>
    <row r="162" spans="1:5" ht="18" customHeight="1">
      <c r="A162" s="55" t="s">
        <v>212</v>
      </c>
      <c r="B162" s="42" t="s">
        <v>174</v>
      </c>
      <c r="C162" s="43" t="s">
        <v>175</v>
      </c>
      <c r="D162" s="24"/>
      <c r="E162" s="15"/>
    </row>
    <row r="163" spans="1:5" ht="18" customHeight="1">
      <c r="A163" s="55" t="s">
        <v>212</v>
      </c>
      <c r="B163" s="42" t="s">
        <v>176</v>
      </c>
      <c r="C163" s="43" t="s">
        <v>177</v>
      </c>
      <c r="D163" s="24"/>
      <c r="E163" s="15"/>
    </row>
    <row r="164" spans="1:5" ht="18" customHeight="1">
      <c r="A164" s="55" t="s">
        <v>212</v>
      </c>
      <c r="B164" s="19" t="s">
        <v>336</v>
      </c>
      <c r="C164" s="37" t="s">
        <v>337</v>
      </c>
      <c r="D164" s="24"/>
      <c r="E164" s="15"/>
    </row>
    <row r="165" spans="1:5" ht="18" customHeight="1">
      <c r="A165" s="55" t="s">
        <v>212</v>
      </c>
      <c r="B165" s="29" t="s">
        <v>178</v>
      </c>
      <c r="C165" s="35" t="s">
        <v>179</v>
      </c>
      <c r="D165" s="24"/>
      <c r="E165" s="15"/>
    </row>
    <row r="166" spans="1:5" ht="18" customHeight="1">
      <c r="A166" s="55" t="s">
        <v>212</v>
      </c>
      <c r="B166" s="29" t="s">
        <v>180</v>
      </c>
      <c r="C166" s="35" t="s">
        <v>181</v>
      </c>
      <c r="D166" s="24"/>
      <c r="E166" s="15"/>
    </row>
    <row r="167" spans="1:5" ht="18" customHeight="1">
      <c r="A167" s="55" t="s">
        <v>212</v>
      </c>
      <c r="B167" s="29" t="s">
        <v>182</v>
      </c>
      <c r="C167" s="35" t="s">
        <v>183</v>
      </c>
      <c r="D167" s="24"/>
      <c r="E167" s="15"/>
    </row>
    <row r="168" spans="1:5" ht="18" customHeight="1">
      <c r="A168" s="55" t="s">
        <v>212</v>
      </c>
      <c r="B168" s="19" t="s">
        <v>339</v>
      </c>
      <c r="C168" s="37" t="s">
        <v>338</v>
      </c>
      <c r="D168" s="24"/>
      <c r="E168" s="15"/>
    </row>
    <row r="169" spans="1:5" ht="18" customHeight="1">
      <c r="A169" s="55" t="s">
        <v>212</v>
      </c>
      <c r="B169" s="29" t="s">
        <v>184</v>
      </c>
      <c r="C169" s="35" t="s">
        <v>185</v>
      </c>
      <c r="D169" s="24"/>
      <c r="E169" s="15"/>
    </row>
    <row r="170" spans="1:5" ht="18" customHeight="1">
      <c r="A170" s="55" t="s">
        <v>212</v>
      </c>
      <c r="B170" s="29" t="s">
        <v>186</v>
      </c>
      <c r="C170" s="35" t="s">
        <v>187</v>
      </c>
      <c r="D170" s="24"/>
      <c r="E170" s="15"/>
    </row>
    <row r="171" spans="1:5" ht="18" customHeight="1">
      <c r="A171" s="55" t="s">
        <v>212</v>
      </c>
      <c r="B171" s="29" t="s">
        <v>188</v>
      </c>
      <c r="C171" s="35" t="s">
        <v>189</v>
      </c>
      <c r="D171" s="24"/>
      <c r="E171" s="15"/>
    </row>
    <row r="172" spans="1:5" ht="18" customHeight="1">
      <c r="A172" s="55" t="s">
        <v>212</v>
      </c>
      <c r="B172" s="29" t="s">
        <v>190</v>
      </c>
      <c r="C172" s="35" t="s">
        <v>191</v>
      </c>
      <c r="D172" s="24"/>
      <c r="E172" s="15"/>
    </row>
    <row r="173" spans="1:5" ht="32">
      <c r="A173" s="55" t="s">
        <v>212</v>
      </c>
      <c r="B173" s="19" t="s">
        <v>340</v>
      </c>
      <c r="C173" s="45" t="s">
        <v>341</v>
      </c>
      <c r="D173" s="24"/>
      <c r="E173" s="15"/>
    </row>
    <row r="174" spans="1:5" ht="18" customHeight="1">
      <c r="A174" s="55" t="s">
        <v>212</v>
      </c>
      <c r="B174" s="29" t="s">
        <v>192</v>
      </c>
      <c r="C174" s="35" t="s">
        <v>193</v>
      </c>
      <c r="D174" s="24"/>
      <c r="E174" s="15"/>
    </row>
    <row r="175" spans="1:5" ht="18" customHeight="1">
      <c r="A175" s="55" t="s">
        <v>212</v>
      </c>
      <c r="B175" s="29" t="s">
        <v>194</v>
      </c>
      <c r="C175" s="35" t="s">
        <v>195</v>
      </c>
      <c r="D175" s="24"/>
      <c r="E175" s="15"/>
    </row>
    <row r="176" spans="1:5" ht="32">
      <c r="A176" s="55" t="s">
        <v>212</v>
      </c>
      <c r="B176" s="19" t="s">
        <v>343</v>
      </c>
      <c r="C176" s="45" t="s">
        <v>342</v>
      </c>
      <c r="D176" s="24"/>
      <c r="E176" s="15"/>
    </row>
    <row r="177" spans="1:5" ht="18" customHeight="1">
      <c r="A177" s="55" t="s">
        <v>212</v>
      </c>
      <c r="B177" s="29" t="s">
        <v>196</v>
      </c>
      <c r="C177" s="35" t="s">
        <v>197</v>
      </c>
      <c r="D177" s="24"/>
      <c r="E177" s="15"/>
    </row>
    <row r="178" spans="1:5" ht="18" customHeight="1" thickBot="1">
      <c r="A178" s="55" t="s">
        <v>212</v>
      </c>
      <c r="B178" s="30" t="s">
        <v>198</v>
      </c>
      <c r="C178" s="36" t="s">
        <v>199</v>
      </c>
      <c r="D178" s="25"/>
      <c r="E178" s="22"/>
    </row>
    <row r="179" spans="1:5" ht="15" thickTop="1"/>
  </sheetData>
  <mergeCells count="1">
    <mergeCell ref="A1:C5"/>
  </mergeCells>
  <conditionalFormatting sqref="D1:D2 D4:D1048576">
    <cfRule type="containsText" dxfId="2" priority="1" operator="containsText" text="Exceeds">
      <formula>NOT(ISERROR(SEARCH("Exceeds",D1)))</formula>
    </cfRule>
    <cfRule type="containsText" dxfId="1" priority="2" operator="containsText" text="Meets">
      <formula>NOT(ISERROR(SEARCH("Meets",D1)))</formula>
    </cfRule>
    <cfRule type="containsText" dxfId="0" priority="3" operator="containsText" text="Lacks">
      <formula>NOT(ISERROR(SEARCH("Lacks",D1)))</formula>
    </cfRule>
  </conditionalFormatting>
  <dataValidations count="1">
    <dataValidation type="list" allowBlank="1" showInputMessage="1" showErrorMessage="1" sqref="D14:D178" xr:uid="{524971FB-0791-4C5B-A11F-26A7C02E7C99}">
      <formula1>$L$15:$L$17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0E673-7718-41D5-B6BD-ECBC6FEB79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Requirements</vt:lpstr>
      <vt:lpstr>Facility Specific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Fabela</dc:creator>
  <cp:lastModifiedBy>Michael DeVolld</cp:lastModifiedBy>
  <dcterms:created xsi:type="dcterms:W3CDTF">2024-05-23T13:25:34Z</dcterms:created>
  <dcterms:modified xsi:type="dcterms:W3CDTF">2025-05-06T16:03:54Z</dcterms:modified>
</cp:coreProperties>
</file>